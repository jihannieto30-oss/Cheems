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MÉXICO" sheetId="2" state="visible" r:id="rId2"/>
    <sheet xmlns:r="http://schemas.openxmlformats.org/officeDocument/2006/relationships" name="USA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BANDAS" sheetId="5" state="visible" r:id="rId5"/>
    <sheet xmlns:r="http://schemas.openxmlformats.org/officeDocument/2006/relationships" name="FUENTES" sheetId="6" state="visible" r:id="rId6"/>
  </sheets>
  <definedNames>
    <definedName name="_xlnm._FilterDatabase" localSheetId="1" hidden="1">'MÉXICO'!$A$5:$G$123</definedName>
    <definedName name="_xlnm._FilterDatabase" localSheetId="2" hidden="1">'USA'!$A$5:$G$123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13">
    <font>
      <name val="Calibri"/>
      <family val="2"/>
      <color theme="1"/>
      <sz val="11"/>
      <scheme val="minor"/>
    </font>
    <font>
      <name val="Arial"/>
      <b val="1"/>
      <color rgb="001A1D23"/>
      <sz val="16"/>
    </font>
    <font>
      <name val="Arial"/>
      <color rgb="005F6875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b val="1"/>
      <color rgb="008A6D3B"/>
      <sz val="10"/>
    </font>
    <font>
      <name val="Arial"/>
      <color rgb="001E5EFF"/>
      <sz val="9"/>
      <u val="single"/>
    </font>
    <font>
      <name val="Arial"/>
      <b val="1"/>
      <color rgb="002F7A3D"/>
      <sz val="10"/>
    </font>
    <font>
      <name val="Arial"/>
      <color rgb="005F6875"/>
      <sz val="9"/>
    </font>
    <font>
      <name val="Arial"/>
      <b val="1"/>
      <color rgb="005F6875"/>
      <sz val="9"/>
    </font>
    <font>
      <name val="Arial"/>
      <color rgb="001E5EFF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1A1D23"/>
      </patternFill>
    </fill>
  </fills>
  <borders count="2">
    <border>
      <left/>
      <right/>
      <top/>
      <bottom/>
      <diagonal/>
    </border>
    <border>
      <bottom style="thin">
        <color rgb="00DDE2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6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right"/>
    </xf>
    <xf numFmtId="165" fontId="3" fillId="2" borderId="1" pivotButton="0" quotePrefix="0" xfId="0"/>
    <xf numFmtId="164" fontId="4" fillId="0" borderId="1" pivotButton="0" quotePrefix="0" xfId="0"/>
    <xf numFmtId="0" fontId="10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64" fontId="3" fillId="2" borderId="1" pivotButton="0" quotePrefix="0" xfId="0"/>
    <xf numFmtId="165" fontId="4" fillId="0" borderId="1" pivotButton="0" quotePrefix="0" xfId="0"/>
    <xf numFmtId="0" fontId="11" fillId="0" borderId="0" pivotButton="0" quotePrefix="0" xfId="0"/>
    <xf numFmtId="0" fontId="6" fillId="3" borderId="0" applyAlignment="1" pivotButton="0" quotePrefix="0" xfId="0">
      <alignment vertical="center" indent="1"/>
    </xf>
    <xf numFmtId="0" fontId="0" fillId="3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2" fillId="0" borderId="1" applyAlignment="1" pivotButton="0" quotePrefix="0" xfId="0">
      <alignment vertical="center" wrapText="1"/>
    </xf>
    <xf numFmtId="3" fontId="3" fillId="0" borderId="1" pivotButton="0" quotePrefix="0" xfId="0"/>
    <xf numFmtId="0" fontId="3" fillId="0" borderId="0" pivotButton="0" quotePrefix="0" xfId="0"/>
    <xf numFmtId="2" fontId="5" fillId="2" borderId="0" pivotButton="0" quotePrefix="0" xfId="0"/>
    <xf numFmtId="0" fontId="4" fillId="0" borderId="1" applyAlignment="1" pivotButton="0" quotePrefix="0" xfId="0">
      <alignment vertical="top"/>
    </xf>
    <xf numFmtId="164" fontId="5" fillId="2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/>
    </xf>
    <xf numFmtId="0" fontId="1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peptide.promo/" TargetMode="External" Id="rId1"/><Relationship Type="http://schemas.openxmlformats.org/officeDocument/2006/relationships/hyperlink" Target="https://peptide.promo/" TargetMode="External" Id="rId2"/><Relationship Type="http://schemas.openxmlformats.org/officeDocument/2006/relationships/hyperlink" Target="https://peptide.promo/" TargetMode="External" Id="rId3"/><Relationship Type="http://schemas.openxmlformats.org/officeDocument/2006/relationships/hyperlink" Target="https://peptide.promo/" TargetMode="External" Id="rId4"/><Relationship Type="http://schemas.openxmlformats.org/officeDocument/2006/relationships/hyperlink" Target="https://peptide.promo/" TargetMode="External" Id="rId5"/><Relationship Type="http://schemas.openxmlformats.org/officeDocument/2006/relationships/hyperlink" Target="https://peptide.promo/" TargetMode="External" Id="rId6"/><Relationship Type="http://schemas.openxmlformats.org/officeDocument/2006/relationships/hyperlink" Target="https://peptide.promo/" TargetMode="External" Id="rId7"/><Relationship Type="http://schemas.openxmlformats.org/officeDocument/2006/relationships/hyperlink" Target="https://peptide.promo/" TargetMode="External" Id="rId8"/><Relationship Type="http://schemas.openxmlformats.org/officeDocument/2006/relationships/hyperlink" Target="https://www.nationwidepeptides.com/products/melanotan-2/" TargetMode="External" Id="rId9"/><Relationship Type="http://schemas.openxmlformats.org/officeDocument/2006/relationships/hyperlink" Target="https://peptide.promo/" TargetMode="External" Id="rId10"/><Relationship Type="http://schemas.openxmlformats.org/officeDocument/2006/relationships/hyperlink" Target="https://biotechpeptides.com/product/bpc-157/" TargetMode="External" Id="rId11"/><Relationship Type="http://schemas.openxmlformats.org/officeDocument/2006/relationships/hyperlink" Target="https://peptide.promo/" TargetMode="External" Id="rId12"/><Relationship Type="http://schemas.openxmlformats.org/officeDocument/2006/relationships/hyperlink" Target="https://peptide.promo/" TargetMode="External" Id="rId13"/><Relationship Type="http://schemas.openxmlformats.org/officeDocument/2006/relationships/hyperlink" Target="https://peptide.promo/" TargetMode="External" Id="rId14"/><Relationship Type="http://schemas.openxmlformats.org/officeDocument/2006/relationships/hyperlink" Target="https://peptide.promo/" TargetMode="External" Id="rId15"/><Relationship Type="http://schemas.openxmlformats.org/officeDocument/2006/relationships/hyperlink" Target="https://peptide.promo/" TargetMode="External" Id="rId16"/><Relationship Type="http://schemas.openxmlformats.org/officeDocument/2006/relationships/hyperlink" Target="https://peptide.promo/" TargetMode="External" Id="rId17"/><Relationship Type="http://schemas.openxmlformats.org/officeDocument/2006/relationships/hyperlink" Target="https://peptide.promo/" TargetMode="External" Id="rId18"/><Relationship Type="http://schemas.openxmlformats.org/officeDocument/2006/relationships/hyperlink" Target="https://peptide.promo/" TargetMode="External" Id="rId19"/><Relationship Type="http://schemas.openxmlformats.org/officeDocument/2006/relationships/hyperlink" Target="https://peptide.promo/" TargetMode="External" Id="rId20"/><Relationship Type="http://schemas.openxmlformats.org/officeDocument/2006/relationships/hyperlink" Target="https://peptide.promo/" TargetMode="External" Id="rId21"/><Relationship Type="http://schemas.openxmlformats.org/officeDocument/2006/relationships/hyperlink" Target="https://peptide.promo/" TargetMode="External" Id="rId22"/><Relationship Type="http://schemas.openxmlformats.org/officeDocument/2006/relationships/hyperlink" Target="https://peptide.promo/" TargetMode="External" Id="rId23"/><Relationship Type="http://schemas.openxmlformats.org/officeDocument/2006/relationships/hyperlink" Target="https://peptide.promo/" TargetMode="External" Id="rId24"/><Relationship Type="http://schemas.openxmlformats.org/officeDocument/2006/relationships/hyperlink" Target="https://peptide.promo/" TargetMode="External" Id="rId25"/><Relationship Type="http://schemas.openxmlformats.org/officeDocument/2006/relationships/hyperlink" Target="https://peptide.promo/" TargetMode="External" Id="rId26"/><Relationship Type="http://schemas.openxmlformats.org/officeDocument/2006/relationships/hyperlink" Target="https://peptide.promo/" TargetMode="External" Id="rId27"/><Relationship Type="http://schemas.openxmlformats.org/officeDocument/2006/relationships/hyperlink" Target="https://peptide.promo/" TargetMode="External" Id="rId28"/><Relationship Type="http://schemas.openxmlformats.org/officeDocument/2006/relationships/hyperlink" Target="https://peptide.promo/" TargetMode="External" Id="rId29"/><Relationship Type="http://schemas.openxmlformats.org/officeDocument/2006/relationships/hyperlink" Target="https://peptide.promo/" TargetMode="External" Id="rId30"/><Relationship Type="http://schemas.openxmlformats.org/officeDocument/2006/relationships/hyperlink" Target="https://www.peptidepros.net/" TargetMode="External" Id="rId31"/><Relationship Type="http://schemas.openxmlformats.org/officeDocument/2006/relationships/hyperlink" Target="https://peptide.promo/" TargetMode="External" Id="rId32"/><Relationship Type="http://schemas.openxmlformats.org/officeDocument/2006/relationships/hyperlink" Target="https://peptide.promo/" TargetMode="External" Id="rId33"/><Relationship Type="http://schemas.openxmlformats.org/officeDocument/2006/relationships/hyperlink" Target="https://peptide.promo/" TargetMode="External" Id="rId34"/><Relationship Type="http://schemas.openxmlformats.org/officeDocument/2006/relationships/hyperlink" Target="https://peptide.promo/" TargetMode="External" Id="rId35"/><Relationship Type="http://schemas.openxmlformats.org/officeDocument/2006/relationships/hyperlink" Target="https://peptilabresearch.com/shop/" TargetMode="External" Id="rId36"/><Relationship Type="http://schemas.openxmlformats.org/officeDocument/2006/relationships/hyperlink" Target="https://peptide.promo/" TargetMode="External" Id="rId37"/><Relationship Type="http://schemas.openxmlformats.org/officeDocument/2006/relationships/hyperlink" Target="https://peptide.promo/" TargetMode="External" Id="rId38"/><Relationship Type="http://schemas.openxmlformats.org/officeDocument/2006/relationships/hyperlink" Target="https://peptide.promo/" TargetMode="External" Id="rId39"/><Relationship Type="http://schemas.openxmlformats.org/officeDocument/2006/relationships/hyperlink" Target="https://peptilabresearch.com/shop/" TargetMode="External" Id="rId40"/><Relationship Type="http://schemas.openxmlformats.org/officeDocument/2006/relationships/hyperlink" Target="https://peptide.promo/" TargetMode="External" Id="rId41"/><Relationship Type="http://schemas.openxmlformats.org/officeDocument/2006/relationships/hyperlink" Target="https://peptide.promo/" TargetMode="External" Id="rId42"/><Relationship Type="http://schemas.openxmlformats.org/officeDocument/2006/relationships/hyperlink" Target="https://peptide.promo/" TargetMode="External" Id="rId43"/><Relationship Type="http://schemas.openxmlformats.org/officeDocument/2006/relationships/hyperlink" Target="https://peptide.promo/" TargetMode="External" Id="rId44"/><Relationship Type="http://schemas.openxmlformats.org/officeDocument/2006/relationships/hyperlink" Target="https://peptide.promo/" TargetMode="External" Id="rId45"/><Relationship Type="http://schemas.openxmlformats.org/officeDocument/2006/relationships/hyperlink" Target="https://peptilabresearch.com/shop/" TargetMode="External" Id="rId46"/><Relationship Type="http://schemas.openxmlformats.org/officeDocument/2006/relationships/hyperlink" Target="https://peptide.promo/" TargetMode="External" Id="rId47"/><Relationship Type="http://schemas.openxmlformats.org/officeDocument/2006/relationships/hyperlink" Target="https://peptide.promo/" TargetMode="External" Id="rId48"/><Relationship Type="http://schemas.openxmlformats.org/officeDocument/2006/relationships/hyperlink" Target="https://peptide.promo/" TargetMode="External" Id="rId49"/><Relationship Type="http://schemas.openxmlformats.org/officeDocument/2006/relationships/hyperlink" Target="https://peptide.promo/" TargetMode="External" Id="rId50"/><Relationship Type="http://schemas.openxmlformats.org/officeDocument/2006/relationships/hyperlink" Target="https://peptide.promo/" TargetMode="External" Id="rId51"/><Relationship Type="http://schemas.openxmlformats.org/officeDocument/2006/relationships/hyperlink" Target="https://peptide.promo/" TargetMode="External" Id="rId52"/><Relationship Type="http://schemas.openxmlformats.org/officeDocument/2006/relationships/hyperlink" Target="https://peptide.promo/" TargetMode="External" Id="rId53"/><Relationship Type="http://schemas.openxmlformats.org/officeDocument/2006/relationships/hyperlink" Target="https://peptide.promo/" TargetMode="External" Id="rId54"/><Relationship Type="http://schemas.openxmlformats.org/officeDocument/2006/relationships/hyperlink" Target="https://peptide.promo/" TargetMode="External" Id="rId55"/><Relationship Type="http://schemas.openxmlformats.org/officeDocument/2006/relationships/hyperlink" Target="https://peptide.promo/" TargetMode="External" Id="rId56"/></Relationships>
</file>

<file path=xl/worksheets/_rels/sheet6.xml.rels><Relationships xmlns="http://schemas.openxmlformats.org/package/2006/relationships"><Relationship Type="http://schemas.openxmlformats.org/officeDocument/2006/relationships/hyperlink" Target="https://peptide.promo/" TargetMode="External" Id="rId1"/><Relationship Type="http://schemas.openxmlformats.org/officeDocument/2006/relationships/hyperlink" Target="https://peptidesexplorer.com/blog/how-much-do-peptides-cost" TargetMode="External" Id="rId2"/><Relationship Type="http://schemas.openxmlformats.org/officeDocument/2006/relationships/hyperlink" Target="https://peptilabresearch.com/shop/" TargetMode="External" Id="rId3"/><Relationship Type="http://schemas.openxmlformats.org/officeDocument/2006/relationships/hyperlink" Target="https://peptideprices.net/" TargetMode="External" Id="rId4"/><Relationship Type="http://schemas.openxmlformats.org/officeDocument/2006/relationships/hyperlink" Target="https://pepstracker.com/" TargetMode="External" Id="rId5"/><Relationship Type="http://schemas.openxmlformats.org/officeDocument/2006/relationships/hyperlink" Target="https://thepeptidecatalog.com/articles/peptide-pricing-report-q1-2026" TargetMode="External" Id="rId6"/><Relationship Type="http://schemas.openxmlformats.org/officeDocument/2006/relationships/hyperlink" Target="https://www.peptidedeck.com/blog/bpc-157-for-sale" TargetMode="External" Id="rId7"/><Relationship Type="http://schemas.openxmlformats.org/officeDocument/2006/relationships/hyperlink" Target="https://biotechpeptides.com/product/bpc-157/" TargetMode="External" Id="rId8"/><Relationship Type="http://schemas.openxmlformats.org/officeDocument/2006/relationships/hyperlink" Target="https://www.nationwidepeptides.com/products/melanotan-2/" TargetMode="External" Id="rId9"/><Relationship Type="http://schemas.openxmlformats.org/officeDocument/2006/relationships/hyperlink" Target="https://nexaph.com/" TargetMode="External" Id="rId10"/><Relationship Type="http://schemas.openxmlformats.org/officeDocument/2006/relationships/hyperlink" Target="https://www.peptidepros.net/" TargetMode="External" Id="rId11"/><Relationship Type="http://schemas.openxmlformats.org/officeDocument/2006/relationships/hyperlink" Target="https://directpeptides.com/products" TargetMode="External" Id="rId12"/><Relationship Type="http://schemas.openxmlformats.org/officeDocument/2006/relationships/hyperlink" Target="https://www.limitlesslabs.us/us" TargetMode="External" Id="rId13"/><Relationship Type="http://schemas.openxmlformats.org/officeDocument/2006/relationships/hyperlink" Target="https://exomapeptides.mx/comprar-peptidos-mexico" TargetMode="External" Id="rId14"/><Relationship Type="http://schemas.openxmlformats.org/officeDocument/2006/relationships/hyperlink" Target="https://zelara.com.mx/productos" TargetMode="External" Id="rId15"/><Relationship Type="http://schemas.openxmlformats.org/officeDocument/2006/relationships/hyperlink" Target="https://viupeptides.com.mx/comprar-peptidos-mexico/" TargetMode="External" Id="rId16"/><Relationship Type="http://schemas.openxmlformats.org/officeDocument/2006/relationships/hyperlink" Target="https://singularbiotech.mx/" TargetMode="External" Id="rId17"/><Relationship Type="http://schemas.openxmlformats.org/officeDocument/2006/relationships/hyperlink" Target="https://nutricost.com.mx/" TargetMode="External" Id="rId18"/><Relationship Type="http://schemas.openxmlformats.org/officeDocument/2006/relationships/hyperlink" Target="https://peptido.info/peptidos-en-mexico-donde-comprarlos-y-cuales-hay-disponibles/" TargetMode="External" Id="rId19"/><Relationship Type="http://schemas.openxmlformats.org/officeDocument/2006/relationships/hyperlink" Target="https://exomapeptides.mx/producto/retatrutida" TargetMode="External" Id="rId20"/><Relationship Type="http://schemas.openxmlformats.org/officeDocument/2006/relationships/hyperlink" Target="https://es.investing.com/currencies/usd-mxn-historical-data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4" customHeight="1">
      <c r="B2" s="1" t="inlineStr">
        <is>
          <t>PEPTIDEX · PRECIO AL CONSUMIDOR</t>
        </is>
      </c>
    </row>
    <row r="3" ht="28" customHeight="1">
      <c r="B3" s="2" t="inlineStr">
        <is>
          <t>Las 118 presentaciones del catálogo, al precio que el mercado paga hoy.  En pesos y en dólares.  03.08.2026</t>
        </is>
      </c>
    </row>
    <row r="5">
      <c r="B5" s="3" t="inlineStr">
        <is>
          <t>LAS DOS HOJAS QUE VAS A USAR</t>
        </is>
      </c>
    </row>
    <row r="6" ht="28" customHeight="1">
      <c r="B6" s="4" t="inlineStr">
        <is>
          <t>MÉXICO   ·  las 118 presentaciones con su precio al consumidor en pesos, su equivalente en dólares, y en qué se basa ese precio.</t>
        </is>
      </c>
    </row>
    <row r="7">
      <c r="B7" s="4" t="inlineStr">
        <is>
          <t>USA      ·  las mismas 118 en dólares, con su equivalente en pesos.</t>
        </is>
      </c>
    </row>
    <row r="9">
      <c r="B9" s="3" t="inlineStr">
        <is>
          <t>CADA PRECIO DICE DE DÓNDE SALE</t>
        </is>
      </c>
    </row>
    <row r="10" ht="42" customHeight="1">
      <c r="B10" s="4" t="inlineStr">
        <is>
          <t>La columna EN QUÉ SE BASA ESTE PRECIO trae, en la misma fila, la cifra de mercado de la que se calculó y quién la publica.  No hay que ir a buscarla a otra hoja para saber si creérsela.</t>
        </is>
      </c>
    </row>
    <row r="11" ht="56" customHeight="1">
      <c r="B11" s="4" t="inlineStr">
        <is>
          <t>Y la columna CONF. dice cuánto vale ese respaldo.  V: hay una cifra publicada para ESE compuesto — once de las cincuenta y seis.  D: no la hay, y se usa la banda de su clase, que sí está comprobada — las otras cuarenta y cinco, con la clase escrita al lado.</t>
        </is>
      </c>
    </row>
    <row r="12">
      <c r="B12" s="4" t="inlineStr">
        <is>
          <t>El enlace concreto de cada compuesto está en BANDAS, y todos juntos en FUENTES.</t>
        </is>
      </c>
    </row>
    <row r="14">
      <c r="B14" s="3" t="inlineStr">
        <is>
          <t>Y TRES QUE SOSTIENEN EL NÚMERO</t>
        </is>
      </c>
    </row>
    <row r="15">
      <c r="B15" s="4" t="inlineStr">
        <is>
          <t>RESUMEN  ·  de dónde sale el precio, en cinco líneas, y qué contesta y qué no.</t>
        </is>
      </c>
    </row>
    <row r="16" ht="42" customHeight="1">
      <c r="B16" s="4" t="inlineStr">
        <is>
          <t>BANDAS   ·  el precio de mercado por unidad de cada compuesto, con su fuente.  Es el único sitio con números escritos a mano: las 236 filas de las dos listas son fórmulas contra él.  Cambia ahí el tipo de cambio y se actualiza el libro entero.</t>
        </is>
      </c>
    </row>
    <row r="17">
      <c r="B17" s="4" t="inlineStr">
        <is>
          <t>FUENTES  ·  cada enlace consultado y qué dato dio.</t>
        </is>
      </c>
    </row>
    <row r="19">
      <c r="B19" s="3" t="inlineStr">
        <is>
          <t>CÓMO SE LLEGÓ AL PRECIO</t>
        </is>
      </c>
    </row>
    <row r="20" ht="42" customHeight="1">
      <c r="B20" s="4" t="inlineStr">
        <is>
          <t>El mercado no cotiza viales, cotiza materia: el vial de 20 mg vale cuatro veces el de 5 mg del mismo compuesto.  Así que se busca el precio por unidad de cada compuesto —por mg casi siempre— y se multiplica por la cantidad de la presentación.</t>
        </is>
      </c>
    </row>
    <row r="21" ht="42" customHeight="1">
      <c r="B21" s="4" t="inlineStr">
        <is>
          <t>De cada compuesto se localizó el más barato y el más caro del mercado.  El precio de las listas es el punto medio: ni el suelo, que es guerra de precio, ni el techo, que sólo lo sostiene una marca ya conocida.</t>
        </is>
      </c>
    </row>
    <row r="23">
      <c r="B23" s="3" t="inlineStr">
        <is>
          <t>DOS COSAS QUE CONVIENE SABER</t>
        </is>
      </c>
    </row>
    <row r="24" ht="42" customHeight="1">
      <c r="B24" s="4" t="inlineStr">
        <is>
          <t>De las 56 moléculas, 11 tienen una cifra publicada para ese compuesto exacto y 45 usan la banda de su clase, que sí está comprobada.  En BANDAS van marcadas V y D.  Antes de fijar precio en los diez que más vendas, abre esas fuentes y confirma el número del día.</t>
        </is>
      </c>
    </row>
    <row r="25" ht="42" customHeight="1">
      <c r="B25" s="4" t="inlineStr">
        <is>
          <t>Las columnas de precio son fórmulas: se calculan al abrir el libro en Excel, Google Sheets o Numbers.  En la vista previa del teléfono pueden salir vacías — no es un error del archivo.</t>
        </is>
      </c>
    </row>
    <row r="27">
      <c r="B27" s="2" t="inlineStr">
        <is>
          <t>Research Use Only — no para uso humano ni veterinario.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G1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23" customWidth="1" min="4" max="4"/>
    <col width="17" customWidth="1" min="5" max="5"/>
    <col width="86" customWidth="1" min="6" max="6"/>
    <col width="7" customWidth="1" min="7" max="7"/>
  </cols>
  <sheetData>
    <row r="2">
      <c r="B2" s="5" t="inlineStr">
        <is>
          <t>PEPTIDEX · PRECIO AL CONSUMIDOR — MÉXICO</t>
        </is>
      </c>
    </row>
    <row r="3">
      <c r="B3" s="6" t="inlineStr">
        <is>
          <t>Las 118 presentaciones del catálogo, al precio que el mercado de MÉXICO paga hoy.  En pesos y en dólares.  03.08.2026</t>
        </is>
      </c>
    </row>
    <row r="5" ht="30" customHeight="1">
      <c r="A5" s="7" t="inlineStr">
        <is>
          <t>LÍNEA</t>
        </is>
      </c>
      <c r="B5" s="7" t="inlineStr">
        <is>
          <t>COMPUESTO</t>
        </is>
      </c>
      <c r="C5" s="7" t="inlineStr">
        <is>
          <t>PRESENTACIÓN</t>
        </is>
      </c>
      <c r="D5" s="7" t="inlineStr">
        <is>
          <t>PRECIO AL CONSUMIDOR (MXN)</t>
        </is>
      </c>
      <c r="E5" s="7" t="inlineStr">
        <is>
          <t>EQUIVALE A (USD)</t>
        </is>
      </c>
      <c r="F5" s="7" t="inlineStr">
        <is>
          <t>EN QUÉ SE BASA ESTE PRECIO</t>
        </is>
      </c>
      <c r="G5" s="7" t="inlineStr">
        <is>
          <t>CONF.</t>
        </is>
      </c>
    </row>
    <row r="6" ht="26" customHeight="1">
      <c r="A6" s="8" t="inlineStr">
        <is>
          <t>BEAUTY</t>
        </is>
      </c>
      <c r="B6" s="8" t="inlineStr">
        <is>
          <t>AHK-Cu</t>
        </is>
      </c>
      <c r="C6" s="9" t="inlineStr">
        <is>
          <t>20 mg</t>
        </is>
      </c>
      <c r="D6" s="10">
        <f>ROUND(AVERAGE(BANDAS!$E$9,BANDAS!$F$9)*20*BANDAS!$E$5*BANDAS!$E$6/50,0)*50</f>
        <v/>
      </c>
      <c r="E6" s="11">
        <f>D6/BANDAS!$E$5</f>
        <v/>
      </c>
      <c r="F6" s="12">
        <f>INDEX(BANDAS!$H$9:$H$64,MATCH($B6,BANDAS!$B$9:$B$64,0))</f>
        <v/>
      </c>
      <c r="G6" s="13">
        <f>INDEX(BANDAS!$G$9:$G$64,MATCH($B6,BANDAS!$B$9:$B$64,0))</f>
        <v/>
      </c>
    </row>
    <row r="7" ht="26" customHeight="1">
      <c r="A7" s="8" t="inlineStr">
        <is>
          <t>BEAUTY</t>
        </is>
      </c>
      <c r="B7" s="8" t="inlineStr">
        <is>
          <t>AHK-Cu</t>
        </is>
      </c>
      <c r="C7" s="9" t="inlineStr">
        <is>
          <t>50 mg</t>
        </is>
      </c>
      <c r="D7" s="10">
        <f>ROUND(AVERAGE(BANDAS!$E$9,BANDAS!$F$9)*50*BANDAS!$E$5*BANDAS!$E$6/50,0)*50</f>
        <v/>
      </c>
      <c r="E7" s="11">
        <f>D7/BANDAS!$E$5</f>
        <v/>
      </c>
      <c r="F7" s="12">
        <f>INDEX(BANDAS!$H$9:$H$64,MATCH($B7,BANDAS!$B$9:$B$64,0))</f>
        <v/>
      </c>
      <c r="G7" s="13">
        <f>INDEX(BANDAS!$G$9:$G$64,MATCH($B7,BANDAS!$B$9:$B$64,0))</f>
        <v/>
      </c>
    </row>
    <row r="8" ht="26" customHeight="1">
      <c r="A8" s="8" t="inlineStr">
        <is>
          <t>BEAUTY</t>
        </is>
      </c>
      <c r="B8" s="8" t="inlineStr">
        <is>
          <t>GHK-Cu</t>
        </is>
      </c>
      <c r="C8" s="9" t="inlineStr">
        <is>
          <t>50 mg</t>
        </is>
      </c>
      <c r="D8" s="10">
        <f>ROUND(AVERAGE(BANDAS!$E$10,BANDAS!$F$10)*50*BANDAS!$E$5*BANDAS!$E$6/50,0)*50</f>
        <v/>
      </c>
      <c r="E8" s="11">
        <f>D8/BANDAS!$E$5</f>
        <v/>
      </c>
      <c r="F8" s="12">
        <f>INDEX(BANDAS!$H$9:$H$64,MATCH($B8,BANDAS!$B$9:$B$64,0))</f>
        <v/>
      </c>
      <c r="G8" s="14">
        <f>INDEX(BANDAS!$G$9:$G$64,MATCH($B8,BANDAS!$B$9:$B$64,0))</f>
        <v/>
      </c>
    </row>
    <row r="9" ht="26" customHeight="1">
      <c r="A9" s="8" t="inlineStr">
        <is>
          <t>BEAUTY</t>
        </is>
      </c>
      <c r="B9" s="8" t="inlineStr">
        <is>
          <t>GHK-Cu</t>
        </is>
      </c>
      <c r="C9" s="9" t="inlineStr">
        <is>
          <t>100 mg</t>
        </is>
      </c>
      <c r="D9" s="10">
        <f>ROUND(AVERAGE(BANDAS!$E$10,BANDAS!$F$10)*100*BANDAS!$E$5*BANDAS!$E$6/50,0)*50</f>
        <v/>
      </c>
      <c r="E9" s="11">
        <f>D9/BANDAS!$E$5</f>
        <v/>
      </c>
      <c r="F9" s="12">
        <f>INDEX(BANDAS!$H$9:$H$64,MATCH($B9,BANDAS!$B$9:$B$64,0))</f>
        <v/>
      </c>
      <c r="G9" s="14">
        <f>INDEX(BANDAS!$G$9:$G$64,MATCH($B9,BANDAS!$B$9:$B$64,0))</f>
        <v/>
      </c>
    </row>
    <row r="10" ht="26" customHeight="1">
      <c r="A10" s="8" t="inlineStr">
        <is>
          <t>BEAUTY</t>
        </is>
      </c>
      <c r="B10" s="8" t="inlineStr">
        <is>
          <t>GLOW Blend</t>
        </is>
      </c>
      <c r="C10" s="9" t="inlineStr">
        <is>
          <t>70 mg</t>
        </is>
      </c>
      <c r="D10" s="10">
        <f>ROUND(AVERAGE(BANDAS!$E$11,BANDAS!$F$11)*70*BANDAS!$E$5*BANDAS!$E$6/50,0)*50</f>
        <v/>
      </c>
      <c r="E10" s="11">
        <f>D10/BANDAS!$E$5</f>
        <v/>
      </c>
      <c r="F10" s="12">
        <f>INDEX(BANDAS!$H$9:$H$64,MATCH($B10,BANDAS!$B$9:$B$64,0))</f>
        <v/>
      </c>
      <c r="G10" s="13">
        <f>INDEX(BANDAS!$G$9:$G$64,MATCH($B10,BANDAS!$B$9:$B$64,0))</f>
        <v/>
      </c>
    </row>
    <row r="11" ht="26" customHeight="1">
      <c r="A11" s="8" t="inlineStr">
        <is>
          <t>BEAUTY</t>
        </is>
      </c>
      <c r="B11" s="8" t="inlineStr">
        <is>
          <t>Glutathione</t>
        </is>
      </c>
      <c r="C11" s="9" t="inlineStr">
        <is>
          <t>600 mg</t>
        </is>
      </c>
      <c r="D11" s="10">
        <f>ROUND(AVERAGE(BANDAS!$E$12,BANDAS!$F$12)*600*BANDAS!$E$5*BANDAS!$E$6/50,0)*50</f>
        <v/>
      </c>
      <c r="E11" s="11">
        <f>D11/BANDAS!$E$5</f>
        <v/>
      </c>
      <c r="F11" s="12">
        <f>INDEX(BANDAS!$H$9:$H$64,MATCH($B11,BANDAS!$B$9:$B$64,0))</f>
        <v/>
      </c>
      <c r="G11" s="13">
        <f>INDEX(BANDAS!$G$9:$G$64,MATCH($B11,BANDAS!$B$9:$B$64,0))</f>
        <v/>
      </c>
    </row>
    <row r="12" ht="26" customHeight="1">
      <c r="A12" s="8" t="inlineStr">
        <is>
          <t>BEAUTY</t>
        </is>
      </c>
      <c r="B12" s="8" t="inlineStr">
        <is>
          <t>Glutathione</t>
        </is>
      </c>
      <c r="C12" s="9" t="inlineStr">
        <is>
          <t>1500 mg</t>
        </is>
      </c>
      <c r="D12" s="10">
        <f>ROUND(AVERAGE(BANDAS!$E$12,BANDAS!$F$12)*1500*BANDAS!$E$5*BANDAS!$E$6/50,0)*50</f>
        <v/>
      </c>
      <c r="E12" s="11">
        <f>D12/BANDAS!$E$5</f>
        <v/>
      </c>
      <c r="F12" s="12">
        <f>INDEX(BANDAS!$H$9:$H$64,MATCH($B12,BANDAS!$B$9:$B$64,0))</f>
        <v/>
      </c>
      <c r="G12" s="13">
        <f>INDEX(BANDAS!$G$9:$G$64,MATCH($B12,BANDAS!$B$9:$B$64,0))</f>
        <v/>
      </c>
    </row>
    <row r="13" ht="26" customHeight="1">
      <c r="A13" s="8" t="inlineStr">
        <is>
          <t>BEAUTY</t>
        </is>
      </c>
      <c r="B13" s="8" t="inlineStr">
        <is>
          <t>KLOW Blend</t>
        </is>
      </c>
      <c r="C13" s="9" t="inlineStr">
        <is>
          <t>80 mg</t>
        </is>
      </c>
      <c r="D13" s="10">
        <f>ROUND(AVERAGE(BANDAS!$E$13,BANDAS!$F$13)*80*BANDAS!$E$5*BANDAS!$E$6/50,0)*50</f>
        <v/>
      </c>
      <c r="E13" s="11">
        <f>D13/BANDAS!$E$5</f>
        <v/>
      </c>
      <c r="F13" s="12">
        <f>INDEX(BANDAS!$H$9:$H$64,MATCH($B13,BANDAS!$B$9:$B$64,0))</f>
        <v/>
      </c>
      <c r="G13" s="13">
        <f>INDEX(BANDAS!$G$9:$G$64,MATCH($B13,BANDAS!$B$9:$B$64,0))</f>
        <v/>
      </c>
    </row>
    <row r="14" ht="26" customHeight="1">
      <c r="A14" s="8" t="inlineStr">
        <is>
          <t>BEAUTY</t>
        </is>
      </c>
      <c r="B14" s="8" t="inlineStr">
        <is>
          <t>KPV</t>
        </is>
      </c>
      <c r="C14" s="9" t="inlineStr">
        <is>
          <t>5 mg</t>
        </is>
      </c>
      <c r="D14" s="10">
        <f>ROUND(AVERAGE(BANDAS!$E$14,BANDAS!$F$14)*5*BANDAS!$E$5*BANDAS!$E$6/50,0)*50</f>
        <v/>
      </c>
      <c r="E14" s="11">
        <f>D14/BANDAS!$E$5</f>
        <v/>
      </c>
      <c r="F14" s="12">
        <f>INDEX(BANDAS!$H$9:$H$64,MATCH($B14,BANDAS!$B$9:$B$64,0))</f>
        <v/>
      </c>
      <c r="G14" s="13">
        <f>INDEX(BANDAS!$G$9:$G$64,MATCH($B14,BANDAS!$B$9:$B$64,0))</f>
        <v/>
      </c>
    </row>
    <row r="15" ht="26" customHeight="1">
      <c r="A15" s="8" t="inlineStr">
        <is>
          <t>BEAUTY</t>
        </is>
      </c>
      <c r="B15" s="8" t="inlineStr">
        <is>
          <t>KPV</t>
        </is>
      </c>
      <c r="C15" s="9" t="inlineStr">
        <is>
          <t>10 mg</t>
        </is>
      </c>
      <c r="D15" s="10">
        <f>ROUND(AVERAGE(BANDAS!$E$14,BANDAS!$F$14)*10*BANDAS!$E$5*BANDAS!$E$6/50,0)*50</f>
        <v/>
      </c>
      <c r="E15" s="11">
        <f>D15/BANDAS!$E$5</f>
        <v/>
      </c>
      <c r="F15" s="12">
        <f>INDEX(BANDAS!$H$9:$H$64,MATCH($B15,BANDAS!$B$9:$B$64,0))</f>
        <v/>
      </c>
      <c r="G15" s="13">
        <f>INDEX(BANDAS!$G$9:$G$64,MATCH($B15,BANDAS!$B$9:$B$64,0))</f>
        <v/>
      </c>
    </row>
    <row r="16" ht="26" customHeight="1">
      <c r="A16" s="8" t="inlineStr">
        <is>
          <t>BEAUTY</t>
        </is>
      </c>
      <c r="B16" s="8" t="inlineStr">
        <is>
          <t>Matrixyl</t>
        </is>
      </c>
      <c r="C16" s="9" t="inlineStr">
        <is>
          <t>10 mg</t>
        </is>
      </c>
      <c r="D16" s="10">
        <f>ROUND(AVERAGE(BANDAS!$E$15,BANDAS!$F$15)*10*BANDAS!$E$5*BANDAS!$E$6/50,0)*50</f>
        <v/>
      </c>
      <c r="E16" s="11">
        <f>D16/BANDAS!$E$5</f>
        <v/>
      </c>
      <c r="F16" s="12">
        <f>INDEX(BANDAS!$H$9:$H$64,MATCH($B16,BANDAS!$B$9:$B$64,0))</f>
        <v/>
      </c>
      <c r="G16" s="13">
        <f>INDEX(BANDAS!$G$9:$G$64,MATCH($B16,BANDAS!$B$9:$B$64,0))</f>
        <v/>
      </c>
    </row>
    <row r="17" ht="26" customHeight="1">
      <c r="A17" s="8" t="inlineStr">
        <is>
          <t>BEAUTY</t>
        </is>
      </c>
      <c r="B17" s="8" t="inlineStr">
        <is>
          <t>Melanotan I</t>
        </is>
      </c>
      <c r="C17" s="9" t="inlineStr">
        <is>
          <t>10 mg</t>
        </is>
      </c>
      <c r="D17" s="10">
        <f>ROUND(AVERAGE(BANDAS!$E$16,BANDAS!$F$16)*10*BANDAS!$E$5*BANDAS!$E$6/50,0)*50</f>
        <v/>
      </c>
      <c r="E17" s="11">
        <f>D17/BANDAS!$E$5</f>
        <v/>
      </c>
      <c r="F17" s="12">
        <f>INDEX(BANDAS!$H$9:$H$64,MATCH($B17,BANDAS!$B$9:$B$64,0))</f>
        <v/>
      </c>
      <c r="G17" s="13">
        <f>INDEX(BANDAS!$G$9:$G$64,MATCH($B17,BANDAS!$B$9:$B$64,0))</f>
        <v/>
      </c>
    </row>
    <row r="18" ht="26" customHeight="1">
      <c r="A18" s="8" t="inlineStr">
        <is>
          <t>BEAUTY</t>
        </is>
      </c>
      <c r="B18" s="8" t="inlineStr">
        <is>
          <t>Melanotan II</t>
        </is>
      </c>
      <c r="C18" s="9" t="inlineStr">
        <is>
          <t>10 mg</t>
        </is>
      </c>
      <c r="D18" s="10">
        <f>ROUND(AVERAGE(BANDAS!$E$17,BANDAS!$F$17)*10*BANDAS!$E$5*BANDAS!$E$6/50,0)*50</f>
        <v/>
      </c>
      <c r="E18" s="11">
        <f>D18/BANDAS!$E$5</f>
        <v/>
      </c>
      <c r="F18" s="12">
        <f>INDEX(BANDAS!$H$9:$H$64,MATCH($B18,BANDAS!$B$9:$B$64,0))</f>
        <v/>
      </c>
      <c r="G18" s="14">
        <f>INDEX(BANDAS!$G$9:$G$64,MATCH($B18,BANDAS!$B$9:$B$64,0))</f>
        <v/>
      </c>
    </row>
    <row r="19" ht="26" customHeight="1">
      <c r="A19" s="8" t="inlineStr">
        <is>
          <t>BEAUTY</t>
        </is>
      </c>
      <c r="B19" s="8" t="inlineStr">
        <is>
          <t>Oxytocin</t>
        </is>
      </c>
      <c r="C19" s="9" t="inlineStr">
        <is>
          <t>5 mg</t>
        </is>
      </c>
      <c r="D19" s="10">
        <f>ROUND(AVERAGE(BANDAS!$E$18,BANDAS!$F$18)*5*BANDAS!$E$5*BANDAS!$E$6/50,0)*50</f>
        <v/>
      </c>
      <c r="E19" s="11">
        <f>D19/BANDAS!$E$5</f>
        <v/>
      </c>
      <c r="F19" s="12">
        <f>INDEX(BANDAS!$H$9:$H$64,MATCH($B19,BANDAS!$B$9:$B$64,0))</f>
        <v/>
      </c>
      <c r="G19" s="13">
        <f>INDEX(BANDAS!$G$9:$G$64,MATCH($B19,BANDAS!$B$9:$B$64,0))</f>
        <v/>
      </c>
    </row>
    <row r="20" ht="26" customHeight="1">
      <c r="A20" s="8" t="inlineStr">
        <is>
          <t>BEAUTY</t>
        </is>
      </c>
      <c r="B20" s="8" t="inlineStr">
        <is>
          <t>PT-141</t>
        </is>
      </c>
      <c r="C20" s="9" t="inlineStr">
        <is>
          <t>10 mg</t>
        </is>
      </c>
      <c r="D20" s="10">
        <f>ROUND(AVERAGE(BANDAS!$E$19,BANDAS!$F$19)*10*BANDAS!$E$5*BANDAS!$E$6/50,0)*50</f>
        <v/>
      </c>
      <c r="E20" s="11">
        <f>D20/BANDAS!$E$5</f>
        <v/>
      </c>
      <c r="F20" s="12">
        <f>INDEX(BANDAS!$H$9:$H$64,MATCH($B20,BANDAS!$B$9:$B$64,0))</f>
        <v/>
      </c>
      <c r="G20" s="14">
        <f>INDEX(BANDAS!$G$9:$G$64,MATCH($B20,BANDAS!$B$9:$B$64,0))</f>
        <v/>
      </c>
    </row>
    <row r="21" ht="26" customHeight="1">
      <c r="A21" s="8" t="inlineStr">
        <is>
          <t>BEAUTY</t>
        </is>
      </c>
      <c r="B21" s="8" t="inlineStr">
        <is>
          <t>Snap-8</t>
        </is>
      </c>
      <c r="C21" s="9" t="inlineStr">
        <is>
          <t>10 mg</t>
        </is>
      </c>
      <c r="D21" s="10">
        <f>ROUND(AVERAGE(BANDAS!$E$20,BANDAS!$F$20)*10*BANDAS!$E$5*BANDAS!$E$6/50,0)*50</f>
        <v/>
      </c>
      <c r="E21" s="11">
        <f>D21/BANDAS!$E$5</f>
        <v/>
      </c>
      <c r="F21" s="12">
        <f>INDEX(BANDAS!$H$9:$H$64,MATCH($B21,BANDAS!$B$9:$B$64,0))</f>
        <v/>
      </c>
      <c r="G21" s="13">
        <f>INDEX(BANDAS!$G$9:$G$64,MATCH($B21,BANDAS!$B$9:$B$64,0))</f>
        <v/>
      </c>
    </row>
    <row r="22" ht="26" customHeight="1">
      <c r="A22" s="8" t="inlineStr">
        <is>
          <t>FITNESS</t>
        </is>
      </c>
      <c r="B22" s="8" t="inlineStr">
        <is>
          <t>5-Amino-1MQ</t>
        </is>
      </c>
      <c r="C22" s="9" t="inlineStr">
        <is>
          <t>5 mg</t>
        </is>
      </c>
      <c r="D22" s="10">
        <f>ROUND(AVERAGE(BANDAS!$E$21,BANDAS!$F$21)*5*BANDAS!$E$5*BANDAS!$E$6/50,0)*50</f>
        <v/>
      </c>
      <c r="E22" s="11">
        <f>D22/BANDAS!$E$5</f>
        <v/>
      </c>
      <c r="F22" s="12">
        <f>INDEX(BANDAS!$H$9:$H$64,MATCH($B22,BANDAS!$B$9:$B$64,0))</f>
        <v/>
      </c>
      <c r="G22" s="13">
        <f>INDEX(BANDAS!$G$9:$G$64,MATCH($B22,BANDAS!$B$9:$B$64,0))</f>
        <v/>
      </c>
    </row>
    <row r="23" ht="26" customHeight="1">
      <c r="A23" s="8" t="inlineStr">
        <is>
          <t>FITNESS</t>
        </is>
      </c>
      <c r="B23" s="8" t="inlineStr">
        <is>
          <t>5-Amino-1MQ</t>
        </is>
      </c>
      <c r="C23" s="9" t="inlineStr">
        <is>
          <t>10 mg</t>
        </is>
      </c>
      <c r="D23" s="10">
        <f>ROUND(AVERAGE(BANDAS!$E$21,BANDAS!$F$21)*10*BANDAS!$E$5*BANDAS!$E$6/50,0)*50</f>
        <v/>
      </c>
      <c r="E23" s="11">
        <f>D23/BANDAS!$E$5</f>
        <v/>
      </c>
      <c r="F23" s="12">
        <f>INDEX(BANDAS!$H$9:$H$64,MATCH($B23,BANDAS!$B$9:$B$64,0))</f>
        <v/>
      </c>
      <c r="G23" s="13">
        <f>INDEX(BANDAS!$G$9:$G$64,MATCH($B23,BANDAS!$B$9:$B$64,0))</f>
        <v/>
      </c>
    </row>
    <row r="24" ht="26" customHeight="1">
      <c r="A24" s="8" t="inlineStr">
        <is>
          <t>FITNESS</t>
        </is>
      </c>
      <c r="B24" s="8" t="inlineStr">
        <is>
          <t>5-Amino-1MQ</t>
        </is>
      </c>
      <c r="C24" s="9" t="inlineStr">
        <is>
          <t>50 mg</t>
        </is>
      </c>
      <c r="D24" s="10">
        <f>ROUND(AVERAGE(BANDAS!$E$21,BANDAS!$F$21)*50*BANDAS!$E$5*BANDAS!$E$6/50,0)*50</f>
        <v/>
      </c>
      <c r="E24" s="11">
        <f>D24/BANDAS!$E$5</f>
        <v/>
      </c>
      <c r="F24" s="12">
        <f>INDEX(BANDAS!$H$9:$H$64,MATCH($B24,BANDAS!$B$9:$B$64,0))</f>
        <v/>
      </c>
      <c r="G24" s="13">
        <f>INDEX(BANDAS!$G$9:$G$64,MATCH($B24,BANDAS!$B$9:$B$64,0))</f>
        <v/>
      </c>
    </row>
    <row r="25" ht="26" customHeight="1">
      <c r="A25" s="8" t="inlineStr">
        <is>
          <t>FITNESS</t>
        </is>
      </c>
      <c r="B25" s="8" t="inlineStr">
        <is>
          <t>AICAR</t>
        </is>
      </c>
      <c r="C25" s="9" t="inlineStr">
        <is>
          <t>50 mg</t>
        </is>
      </c>
      <c r="D25" s="10">
        <f>ROUND(AVERAGE(BANDAS!$E$22,BANDAS!$F$22)*50*BANDAS!$E$5*BANDAS!$E$6/50,0)*50</f>
        <v/>
      </c>
      <c r="E25" s="11">
        <f>D25/BANDAS!$E$5</f>
        <v/>
      </c>
      <c r="F25" s="12">
        <f>INDEX(BANDAS!$H$9:$H$64,MATCH($B25,BANDAS!$B$9:$B$64,0))</f>
        <v/>
      </c>
      <c r="G25" s="13">
        <f>INDEX(BANDAS!$G$9:$G$64,MATCH($B25,BANDAS!$B$9:$B$64,0))</f>
        <v/>
      </c>
    </row>
    <row r="26" ht="26" customHeight="1">
      <c r="A26" s="8" t="inlineStr">
        <is>
          <t>FITNESS</t>
        </is>
      </c>
      <c r="B26" s="8" t="inlineStr">
        <is>
          <t>AICAR</t>
        </is>
      </c>
      <c r="C26" s="9" t="inlineStr">
        <is>
          <t>100 mg</t>
        </is>
      </c>
      <c r="D26" s="10">
        <f>ROUND(AVERAGE(BANDAS!$E$22,BANDAS!$F$22)*100*BANDAS!$E$5*BANDAS!$E$6/50,0)*50</f>
        <v/>
      </c>
      <c r="E26" s="11">
        <f>D26/BANDAS!$E$5</f>
        <v/>
      </c>
      <c r="F26" s="12">
        <f>INDEX(BANDAS!$H$9:$H$64,MATCH($B26,BANDAS!$B$9:$B$64,0))</f>
        <v/>
      </c>
      <c r="G26" s="13">
        <f>INDEX(BANDAS!$G$9:$G$64,MATCH($B26,BANDAS!$B$9:$B$64,0))</f>
        <v/>
      </c>
    </row>
    <row r="27" ht="26" customHeight="1">
      <c r="A27" s="8" t="inlineStr">
        <is>
          <t>FITNESS</t>
        </is>
      </c>
      <c r="B27" s="8" t="inlineStr">
        <is>
          <t>AOD-9604</t>
        </is>
      </c>
      <c r="C27" s="9" t="inlineStr">
        <is>
          <t>5 mg</t>
        </is>
      </c>
      <c r="D27" s="10">
        <f>ROUND(AVERAGE(BANDAS!$E$23,BANDAS!$F$23)*5*BANDAS!$E$5*BANDAS!$E$6/50,0)*50</f>
        <v/>
      </c>
      <c r="E27" s="11">
        <f>D27/BANDAS!$E$5</f>
        <v/>
      </c>
      <c r="F27" s="12">
        <f>INDEX(BANDAS!$H$9:$H$64,MATCH($B27,BANDAS!$B$9:$B$64,0))</f>
        <v/>
      </c>
      <c r="G27" s="13">
        <f>INDEX(BANDAS!$G$9:$G$64,MATCH($B27,BANDAS!$B$9:$B$64,0))</f>
        <v/>
      </c>
    </row>
    <row r="28" ht="26" customHeight="1">
      <c r="A28" s="8" t="inlineStr">
        <is>
          <t>FITNESS</t>
        </is>
      </c>
      <c r="B28" s="8" t="inlineStr">
        <is>
          <t>AOD-9604</t>
        </is>
      </c>
      <c r="C28" s="9" t="inlineStr">
        <is>
          <t>10 mg</t>
        </is>
      </c>
      <c r="D28" s="10">
        <f>ROUND(AVERAGE(BANDAS!$E$23,BANDAS!$F$23)*10*BANDAS!$E$5*BANDAS!$E$6/50,0)*50</f>
        <v/>
      </c>
      <c r="E28" s="11">
        <f>D28/BANDAS!$E$5</f>
        <v/>
      </c>
      <c r="F28" s="12">
        <f>INDEX(BANDAS!$H$9:$H$64,MATCH($B28,BANDAS!$B$9:$B$64,0))</f>
        <v/>
      </c>
      <c r="G28" s="13">
        <f>INDEX(BANDAS!$G$9:$G$64,MATCH($B28,BANDAS!$B$9:$B$64,0))</f>
        <v/>
      </c>
    </row>
    <row r="29" ht="26" customHeight="1">
      <c r="A29" s="8" t="inlineStr">
        <is>
          <t>FITNESS</t>
        </is>
      </c>
      <c r="B29" s="8" t="inlineStr">
        <is>
          <t>Adamax</t>
        </is>
      </c>
      <c r="C29" s="9" t="inlineStr">
        <is>
          <t>10 mg</t>
        </is>
      </c>
      <c r="D29" s="10">
        <f>ROUND(AVERAGE(BANDAS!$E$24,BANDAS!$F$24)*10*BANDAS!$E$5*BANDAS!$E$6/50,0)*50</f>
        <v/>
      </c>
      <c r="E29" s="11">
        <f>D29/BANDAS!$E$5</f>
        <v/>
      </c>
      <c r="F29" s="12">
        <f>INDEX(BANDAS!$H$9:$H$64,MATCH($B29,BANDAS!$B$9:$B$64,0))</f>
        <v/>
      </c>
      <c r="G29" s="13">
        <f>INDEX(BANDAS!$G$9:$G$64,MATCH($B29,BANDAS!$B$9:$B$64,0))</f>
        <v/>
      </c>
    </row>
    <row r="30" ht="26" customHeight="1">
      <c r="A30" s="8" t="inlineStr">
        <is>
          <t>FITNESS</t>
        </is>
      </c>
      <c r="B30" s="8" t="inlineStr">
        <is>
          <t>Adipotide</t>
        </is>
      </c>
      <c r="C30" s="9" t="inlineStr">
        <is>
          <t>5 mg</t>
        </is>
      </c>
      <c r="D30" s="10">
        <f>ROUND(AVERAGE(BANDAS!$E$25,BANDAS!$F$25)*5*BANDAS!$E$5*BANDAS!$E$6/50,0)*50</f>
        <v/>
      </c>
      <c r="E30" s="11">
        <f>D30/BANDAS!$E$5</f>
        <v/>
      </c>
      <c r="F30" s="12">
        <f>INDEX(BANDAS!$H$9:$H$64,MATCH($B30,BANDAS!$B$9:$B$64,0))</f>
        <v/>
      </c>
      <c r="G30" s="13">
        <f>INDEX(BANDAS!$G$9:$G$64,MATCH($B30,BANDAS!$B$9:$B$64,0))</f>
        <v/>
      </c>
    </row>
    <row r="31" ht="26" customHeight="1">
      <c r="A31" s="8" t="inlineStr">
        <is>
          <t>FITNESS</t>
        </is>
      </c>
      <c r="B31" s="8" t="inlineStr">
        <is>
          <t>Adipotide</t>
        </is>
      </c>
      <c r="C31" s="9" t="inlineStr">
        <is>
          <t>10 mg</t>
        </is>
      </c>
      <c r="D31" s="10">
        <f>ROUND(AVERAGE(BANDAS!$E$25,BANDAS!$F$25)*10*BANDAS!$E$5*BANDAS!$E$6/50,0)*50</f>
        <v/>
      </c>
      <c r="E31" s="11">
        <f>D31/BANDAS!$E$5</f>
        <v/>
      </c>
      <c r="F31" s="12">
        <f>INDEX(BANDAS!$H$9:$H$64,MATCH($B31,BANDAS!$B$9:$B$64,0))</f>
        <v/>
      </c>
      <c r="G31" s="13">
        <f>INDEX(BANDAS!$G$9:$G$64,MATCH($B31,BANDAS!$B$9:$B$64,0))</f>
        <v/>
      </c>
    </row>
    <row r="32" ht="26" customHeight="1">
      <c r="A32" s="8" t="inlineStr">
        <is>
          <t>FITNESS</t>
        </is>
      </c>
      <c r="B32" s="8" t="inlineStr">
        <is>
          <t>Ara-290</t>
        </is>
      </c>
      <c r="C32" s="9" t="inlineStr">
        <is>
          <t>10 mg</t>
        </is>
      </c>
      <c r="D32" s="10">
        <f>ROUND(AVERAGE(BANDAS!$E$26,BANDAS!$F$26)*10*BANDAS!$E$5*BANDAS!$E$6/50,0)*50</f>
        <v/>
      </c>
      <c r="E32" s="11">
        <f>D32/BANDAS!$E$5</f>
        <v/>
      </c>
      <c r="F32" s="12">
        <f>INDEX(BANDAS!$H$9:$H$64,MATCH($B32,BANDAS!$B$9:$B$64,0))</f>
        <v/>
      </c>
      <c r="G32" s="13">
        <f>INDEX(BANDAS!$G$9:$G$64,MATCH($B32,BANDAS!$B$9:$B$64,0))</f>
        <v/>
      </c>
    </row>
    <row r="33" ht="26" customHeight="1">
      <c r="A33" s="8" t="inlineStr">
        <is>
          <t>FITNESS</t>
        </is>
      </c>
      <c r="B33" s="8" t="inlineStr">
        <is>
          <t>BPC-157</t>
        </is>
      </c>
      <c r="C33" s="9" t="inlineStr">
        <is>
          <t>5 mg</t>
        </is>
      </c>
      <c r="D33" s="10">
        <f>ROUND(AVERAGE(BANDAS!$E$27,BANDAS!$F$27)*5*BANDAS!$E$5*BANDAS!$E$6/50,0)*50</f>
        <v/>
      </c>
      <c r="E33" s="11">
        <f>D33/BANDAS!$E$5</f>
        <v/>
      </c>
      <c r="F33" s="12">
        <f>INDEX(BANDAS!$H$9:$H$64,MATCH($B33,BANDAS!$B$9:$B$64,0))</f>
        <v/>
      </c>
      <c r="G33" s="14">
        <f>INDEX(BANDAS!$G$9:$G$64,MATCH($B33,BANDAS!$B$9:$B$64,0))</f>
        <v/>
      </c>
    </row>
    <row r="34" ht="26" customHeight="1">
      <c r="A34" s="8" t="inlineStr">
        <is>
          <t>FITNESS</t>
        </is>
      </c>
      <c r="B34" s="8" t="inlineStr">
        <is>
          <t>BPC-157</t>
        </is>
      </c>
      <c r="C34" s="9" t="inlineStr">
        <is>
          <t>10 mg</t>
        </is>
      </c>
      <c r="D34" s="10">
        <f>ROUND(AVERAGE(BANDAS!$E$27,BANDAS!$F$27)*10*BANDAS!$E$5*BANDAS!$E$6/50,0)*50</f>
        <v/>
      </c>
      <c r="E34" s="11">
        <f>D34/BANDAS!$E$5</f>
        <v/>
      </c>
      <c r="F34" s="12">
        <f>INDEX(BANDAS!$H$9:$H$64,MATCH($B34,BANDAS!$B$9:$B$64,0))</f>
        <v/>
      </c>
      <c r="G34" s="14">
        <f>INDEX(BANDAS!$G$9:$G$64,MATCH($B34,BANDAS!$B$9:$B$64,0))</f>
        <v/>
      </c>
    </row>
    <row r="35" ht="26" customHeight="1">
      <c r="A35" s="8" t="inlineStr">
        <is>
          <t>FITNESS</t>
        </is>
      </c>
      <c r="B35" s="8" t="inlineStr">
        <is>
          <t>BPC-157</t>
        </is>
      </c>
      <c r="C35" s="9" t="inlineStr">
        <is>
          <t>20 mg</t>
        </is>
      </c>
      <c r="D35" s="10">
        <f>ROUND(AVERAGE(BANDAS!$E$27,BANDAS!$F$27)*20*BANDAS!$E$5*BANDAS!$E$6/50,0)*50</f>
        <v/>
      </c>
      <c r="E35" s="11">
        <f>D35/BANDAS!$E$5</f>
        <v/>
      </c>
      <c r="F35" s="12">
        <f>INDEX(BANDAS!$H$9:$H$64,MATCH($B35,BANDAS!$B$9:$B$64,0))</f>
        <v/>
      </c>
      <c r="G35" s="14">
        <f>INDEX(BANDAS!$G$9:$G$64,MATCH($B35,BANDAS!$B$9:$B$64,0))</f>
        <v/>
      </c>
    </row>
    <row r="36" ht="26" customHeight="1">
      <c r="A36" s="8" t="inlineStr">
        <is>
          <t>FITNESS</t>
        </is>
      </c>
      <c r="B36" s="8" t="inlineStr">
        <is>
          <t>BPC-157 + TB-500</t>
        </is>
      </c>
      <c r="C36" s="9" t="inlineStr">
        <is>
          <t>10 mg</t>
        </is>
      </c>
      <c r="D36" s="10">
        <f>ROUND(AVERAGE(BANDAS!$E$28,BANDAS!$F$28)*10*BANDAS!$E$5*BANDAS!$E$6/50,0)*50</f>
        <v/>
      </c>
      <c r="E36" s="11">
        <f>D36/BANDAS!$E$5</f>
        <v/>
      </c>
      <c r="F36" s="12">
        <f>INDEX(BANDAS!$H$9:$H$64,MATCH($B36,BANDAS!$B$9:$B$64,0))</f>
        <v/>
      </c>
      <c r="G36" s="13">
        <f>INDEX(BANDAS!$G$9:$G$64,MATCH($B36,BANDAS!$B$9:$B$64,0))</f>
        <v/>
      </c>
    </row>
    <row r="37" ht="26" customHeight="1">
      <c r="A37" s="8" t="inlineStr">
        <is>
          <t>FITNESS</t>
        </is>
      </c>
      <c r="B37" s="8" t="inlineStr">
        <is>
          <t>BPC-157 + TB-500</t>
        </is>
      </c>
      <c r="C37" s="9" t="inlineStr">
        <is>
          <t>20 mg</t>
        </is>
      </c>
      <c r="D37" s="10">
        <f>ROUND(AVERAGE(BANDAS!$E$28,BANDAS!$F$28)*20*BANDAS!$E$5*BANDAS!$E$6/50,0)*50</f>
        <v/>
      </c>
      <c r="E37" s="11">
        <f>D37/BANDAS!$E$5</f>
        <v/>
      </c>
      <c r="F37" s="12">
        <f>INDEX(BANDAS!$H$9:$H$64,MATCH($B37,BANDAS!$B$9:$B$64,0))</f>
        <v/>
      </c>
      <c r="G37" s="13">
        <f>INDEX(BANDAS!$G$9:$G$64,MATCH($B37,BANDAS!$B$9:$B$64,0))</f>
        <v/>
      </c>
    </row>
    <row r="38" ht="26" customHeight="1">
      <c r="A38" s="8" t="inlineStr">
        <is>
          <t>FITNESS</t>
        </is>
      </c>
      <c r="B38" s="8" t="inlineStr">
        <is>
          <t>CJC-1295 (DAC)</t>
        </is>
      </c>
      <c r="C38" s="9" t="inlineStr">
        <is>
          <t>5 mg</t>
        </is>
      </c>
      <c r="D38" s="10">
        <f>ROUND(AVERAGE(BANDAS!$E$29,BANDAS!$F$29)*5*BANDAS!$E$5*BANDAS!$E$6/50,0)*50</f>
        <v/>
      </c>
      <c r="E38" s="11">
        <f>D38/BANDAS!$E$5</f>
        <v/>
      </c>
      <c r="F38" s="12">
        <f>INDEX(BANDAS!$H$9:$H$64,MATCH($B38,BANDAS!$B$9:$B$64,0))</f>
        <v/>
      </c>
      <c r="G38" s="13">
        <f>INDEX(BANDAS!$G$9:$G$64,MATCH($B38,BANDAS!$B$9:$B$64,0))</f>
        <v/>
      </c>
    </row>
    <row r="39" ht="26" customHeight="1">
      <c r="A39" s="8" t="inlineStr">
        <is>
          <t>FITNESS</t>
        </is>
      </c>
      <c r="B39" s="8" t="inlineStr">
        <is>
          <t>CJC-1295 (DAC)</t>
        </is>
      </c>
      <c r="C39" s="9" t="inlineStr">
        <is>
          <t>10 mg</t>
        </is>
      </c>
      <c r="D39" s="10">
        <f>ROUND(AVERAGE(BANDAS!$E$29,BANDAS!$F$29)*10*BANDAS!$E$5*BANDAS!$E$6/50,0)*50</f>
        <v/>
      </c>
      <c r="E39" s="11">
        <f>D39/BANDAS!$E$5</f>
        <v/>
      </c>
      <c r="F39" s="12">
        <f>INDEX(BANDAS!$H$9:$H$64,MATCH($B39,BANDAS!$B$9:$B$64,0))</f>
        <v/>
      </c>
      <c r="G39" s="13">
        <f>INDEX(BANDAS!$G$9:$G$64,MATCH($B39,BANDAS!$B$9:$B$64,0))</f>
        <v/>
      </c>
    </row>
    <row r="40" ht="26" customHeight="1">
      <c r="A40" s="8" t="inlineStr">
        <is>
          <t>FITNESS</t>
        </is>
      </c>
      <c r="B40" s="8" t="inlineStr">
        <is>
          <t>CJC-1295 (no DAC)</t>
        </is>
      </c>
      <c r="C40" s="9" t="inlineStr">
        <is>
          <t>5 mg</t>
        </is>
      </c>
      <c r="D40" s="10">
        <f>ROUND(AVERAGE(BANDAS!$E$30,BANDAS!$F$30)*5*BANDAS!$E$5*BANDAS!$E$6/50,0)*50</f>
        <v/>
      </c>
      <c r="E40" s="11">
        <f>D40/BANDAS!$E$5</f>
        <v/>
      </c>
      <c r="F40" s="12">
        <f>INDEX(BANDAS!$H$9:$H$64,MATCH($B40,BANDAS!$B$9:$B$64,0))</f>
        <v/>
      </c>
      <c r="G40" s="13">
        <f>INDEX(BANDAS!$G$9:$G$64,MATCH($B40,BANDAS!$B$9:$B$64,0))</f>
        <v/>
      </c>
    </row>
    <row r="41" ht="26" customHeight="1">
      <c r="A41" s="8" t="inlineStr">
        <is>
          <t>FITNESS</t>
        </is>
      </c>
      <c r="B41" s="8" t="inlineStr">
        <is>
          <t>CJC-1295 (no DAC)</t>
        </is>
      </c>
      <c r="C41" s="9" t="inlineStr">
        <is>
          <t>10 mg</t>
        </is>
      </c>
      <c r="D41" s="10">
        <f>ROUND(AVERAGE(BANDAS!$E$30,BANDAS!$F$30)*10*BANDAS!$E$5*BANDAS!$E$6/50,0)*50</f>
        <v/>
      </c>
      <c r="E41" s="11">
        <f>D41/BANDAS!$E$5</f>
        <v/>
      </c>
      <c r="F41" s="12">
        <f>INDEX(BANDAS!$H$9:$H$64,MATCH($B41,BANDAS!$B$9:$B$64,0))</f>
        <v/>
      </c>
      <c r="G41" s="13">
        <f>INDEX(BANDAS!$G$9:$G$64,MATCH($B41,BANDAS!$B$9:$B$64,0))</f>
        <v/>
      </c>
    </row>
    <row r="42" ht="26" customHeight="1">
      <c r="A42" s="8" t="inlineStr">
        <is>
          <t>FITNESS</t>
        </is>
      </c>
      <c r="B42" s="8" t="inlineStr">
        <is>
          <t>CJC-1295 + Ipamorelin</t>
        </is>
      </c>
      <c r="C42" s="9" t="inlineStr">
        <is>
          <t>10 mg</t>
        </is>
      </c>
      <c r="D42" s="10">
        <f>ROUND(AVERAGE(BANDAS!$E$31,BANDAS!$F$31)*10*BANDAS!$E$5*BANDAS!$E$6/50,0)*50</f>
        <v/>
      </c>
      <c r="E42" s="11">
        <f>D42/BANDAS!$E$5</f>
        <v/>
      </c>
      <c r="F42" s="12">
        <f>INDEX(BANDAS!$H$9:$H$64,MATCH($B42,BANDAS!$B$9:$B$64,0))</f>
        <v/>
      </c>
      <c r="G42" s="14">
        <f>INDEX(BANDAS!$G$9:$G$64,MATCH($B42,BANDAS!$B$9:$B$64,0))</f>
        <v/>
      </c>
    </row>
    <row r="43" ht="26" customHeight="1">
      <c r="A43" s="8" t="inlineStr">
        <is>
          <t>FITNESS</t>
        </is>
      </c>
      <c r="B43" s="8" t="inlineStr">
        <is>
          <t>Cagri + Sema</t>
        </is>
      </c>
      <c r="C43" s="9" t="inlineStr">
        <is>
          <t>5 mg</t>
        </is>
      </c>
      <c r="D43" s="10">
        <f>ROUND(AVERAGE(BANDAS!$E$32,BANDAS!$F$32)*5*BANDAS!$E$5*BANDAS!$E$6/50,0)*50</f>
        <v/>
      </c>
      <c r="E43" s="11">
        <f>D43/BANDAS!$E$5</f>
        <v/>
      </c>
      <c r="F43" s="12">
        <f>INDEX(BANDAS!$H$9:$H$64,MATCH($B43,BANDAS!$B$9:$B$64,0))</f>
        <v/>
      </c>
      <c r="G43" s="13">
        <f>INDEX(BANDAS!$G$9:$G$64,MATCH($B43,BANDAS!$B$9:$B$64,0))</f>
        <v/>
      </c>
    </row>
    <row r="44" ht="26" customHeight="1">
      <c r="A44" s="8" t="inlineStr">
        <is>
          <t>FITNESS</t>
        </is>
      </c>
      <c r="B44" s="8" t="inlineStr">
        <is>
          <t>Cagri + Sema</t>
        </is>
      </c>
      <c r="C44" s="9" t="inlineStr">
        <is>
          <t>10 mg</t>
        </is>
      </c>
      <c r="D44" s="10">
        <f>ROUND(AVERAGE(BANDAS!$E$32,BANDAS!$F$32)*10*BANDAS!$E$5*BANDAS!$E$6/50,0)*50</f>
        <v/>
      </c>
      <c r="E44" s="11">
        <f>D44/BANDAS!$E$5</f>
        <v/>
      </c>
      <c r="F44" s="12">
        <f>INDEX(BANDAS!$H$9:$H$64,MATCH($B44,BANDAS!$B$9:$B$64,0))</f>
        <v/>
      </c>
      <c r="G44" s="13">
        <f>INDEX(BANDAS!$G$9:$G$64,MATCH($B44,BANDAS!$B$9:$B$64,0))</f>
        <v/>
      </c>
    </row>
    <row r="45" ht="26" customHeight="1">
      <c r="A45" s="8" t="inlineStr">
        <is>
          <t>FITNESS</t>
        </is>
      </c>
      <c r="B45" s="8" t="inlineStr">
        <is>
          <t>Cagrilintide</t>
        </is>
      </c>
      <c r="C45" s="9" t="inlineStr">
        <is>
          <t>5 mg</t>
        </is>
      </c>
      <c r="D45" s="10">
        <f>ROUND(AVERAGE(BANDAS!$E$33,BANDAS!$F$33)*5*BANDAS!$E$5*BANDAS!$E$6/50,0)*50</f>
        <v/>
      </c>
      <c r="E45" s="11">
        <f>D45/BANDAS!$E$5</f>
        <v/>
      </c>
      <c r="F45" s="12">
        <f>INDEX(BANDAS!$H$9:$H$64,MATCH($B45,BANDAS!$B$9:$B$64,0))</f>
        <v/>
      </c>
      <c r="G45" s="13">
        <f>INDEX(BANDAS!$G$9:$G$64,MATCH($B45,BANDAS!$B$9:$B$64,0))</f>
        <v/>
      </c>
    </row>
    <row r="46" ht="26" customHeight="1">
      <c r="A46" s="8" t="inlineStr">
        <is>
          <t>FITNESS</t>
        </is>
      </c>
      <c r="B46" s="8" t="inlineStr">
        <is>
          <t>Cagrilintide</t>
        </is>
      </c>
      <c r="C46" s="9" t="inlineStr">
        <is>
          <t>10 mg</t>
        </is>
      </c>
      <c r="D46" s="10">
        <f>ROUND(AVERAGE(BANDAS!$E$33,BANDAS!$F$33)*10*BANDAS!$E$5*BANDAS!$E$6/50,0)*50</f>
        <v/>
      </c>
      <c r="E46" s="11">
        <f>D46/BANDAS!$E$5</f>
        <v/>
      </c>
      <c r="F46" s="12">
        <f>INDEX(BANDAS!$H$9:$H$64,MATCH($B46,BANDAS!$B$9:$B$64,0))</f>
        <v/>
      </c>
      <c r="G46" s="13">
        <f>INDEX(BANDAS!$G$9:$G$64,MATCH($B46,BANDAS!$B$9:$B$64,0))</f>
        <v/>
      </c>
    </row>
    <row r="47" ht="26" customHeight="1">
      <c r="A47" s="8" t="inlineStr">
        <is>
          <t>FITNESS</t>
        </is>
      </c>
      <c r="B47" s="8" t="inlineStr">
        <is>
          <t>GHRP-2</t>
        </is>
      </c>
      <c r="C47" s="9" t="inlineStr">
        <is>
          <t>5 mg</t>
        </is>
      </c>
      <c r="D47" s="10">
        <f>ROUND(AVERAGE(BANDAS!$E$34,BANDAS!$F$34)*5*BANDAS!$E$5*BANDAS!$E$6/50,0)*50</f>
        <v/>
      </c>
      <c r="E47" s="11">
        <f>D47/BANDAS!$E$5</f>
        <v/>
      </c>
      <c r="F47" s="12">
        <f>INDEX(BANDAS!$H$9:$H$64,MATCH($B47,BANDAS!$B$9:$B$64,0))</f>
        <v/>
      </c>
      <c r="G47" s="13">
        <f>INDEX(BANDAS!$G$9:$G$64,MATCH($B47,BANDAS!$B$9:$B$64,0))</f>
        <v/>
      </c>
    </row>
    <row r="48" ht="26" customHeight="1">
      <c r="A48" s="8" t="inlineStr">
        <is>
          <t>FITNESS</t>
        </is>
      </c>
      <c r="B48" s="8" t="inlineStr">
        <is>
          <t>GHRP-2</t>
        </is>
      </c>
      <c r="C48" s="9" t="inlineStr">
        <is>
          <t>10 mg</t>
        </is>
      </c>
      <c r="D48" s="10">
        <f>ROUND(AVERAGE(BANDAS!$E$34,BANDAS!$F$34)*10*BANDAS!$E$5*BANDAS!$E$6/50,0)*50</f>
        <v/>
      </c>
      <c r="E48" s="11">
        <f>D48/BANDAS!$E$5</f>
        <v/>
      </c>
      <c r="F48" s="12">
        <f>INDEX(BANDAS!$H$9:$H$64,MATCH($B48,BANDAS!$B$9:$B$64,0))</f>
        <v/>
      </c>
      <c r="G48" s="13">
        <f>INDEX(BANDAS!$G$9:$G$64,MATCH($B48,BANDAS!$B$9:$B$64,0))</f>
        <v/>
      </c>
    </row>
    <row r="49" ht="26" customHeight="1">
      <c r="A49" s="8" t="inlineStr">
        <is>
          <t>FITNESS</t>
        </is>
      </c>
      <c r="B49" s="8" t="inlineStr">
        <is>
          <t>GHRP-6</t>
        </is>
      </c>
      <c r="C49" s="9" t="inlineStr">
        <is>
          <t>5 mg</t>
        </is>
      </c>
      <c r="D49" s="10">
        <f>ROUND(AVERAGE(BANDAS!$E$35,BANDAS!$F$35)*5*BANDAS!$E$5*BANDAS!$E$6/50,0)*50</f>
        <v/>
      </c>
      <c r="E49" s="11">
        <f>D49/BANDAS!$E$5</f>
        <v/>
      </c>
      <c r="F49" s="12">
        <f>INDEX(BANDAS!$H$9:$H$64,MATCH($B49,BANDAS!$B$9:$B$64,0))</f>
        <v/>
      </c>
      <c r="G49" s="13">
        <f>INDEX(BANDAS!$G$9:$G$64,MATCH($B49,BANDAS!$B$9:$B$64,0))</f>
        <v/>
      </c>
    </row>
    <row r="50" ht="26" customHeight="1">
      <c r="A50" s="8" t="inlineStr">
        <is>
          <t>FITNESS</t>
        </is>
      </c>
      <c r="B50" s="8" t="inlineStr">
        <is>
          <t>GHRP-6</t>
        </is>
      </c>
      <c r="C50" s="9" t="inlineStr">
        <is>
          <t>10 mg</t>
        </is>
      </c>
      <c r="D50" s="10">
        <f>ROUND(AVERAGE(BANDAS!$E$35,BANDAS!$F$35)*10*BANDAS!$E$5*BANDAS!$E$6/50,0)*50</f>
        <v/>
      </c>
      <c r="E50" s="11">
        <f>D50/BANDAS!$E$5</f>
        <v/>
      </c>
      <c r="F50" s="12">
        <f>INDEX(BANDAS!$H$9:$H$64,MATCH($B50,BANDAS!$B$9:$B$64,0))</f>
        <v/>
      </c>
      <c r="G50" s="13">
        <f>INDEX(BANDAS!$G$9:$G$64,MATCH($B50,BANDAS!$B$9:$B$64,0))</f>
        <v/>
      </c>
    </row>
    <row r="51" ht="26" customHeight="1">
      <c r="A51" s="8" t="inlineStr">
        <is>
          <t>FITNESS</t>
        </is>
      </c>
      <c r="B51" s="8" t="inlineStr">
        <is>
          <t>HGH 191AA</t>
        </is>
      </c>
      <c r="C51" s="9" t="inlineStr">
        <is>
          <t>10 iu</t>
        </is>
      </c>
      <c r="D51" s="10">
        <f>ROUND(AVERAGE(BANDAS!$E$36,BANDAS!$F$36)*10*BANDAS!$E$5*BANDAS!$E$6/50,0)*50</f>
        <v/>
      </c>
      <c r="E51" s="11">
        <f>D51/BANDAS!$E$5</f>
        <v/>
      </c>
      <c r="F51" s="12">
        <f>INDEX(BANDAS!$H$9:$H$64,MATCH($B51,BANDAS!$B$9:$B$64,0))</f>
        <v/>
      </c>
      <c r="G51" s="13">
        <f>INDEX(BANDAS!$G$9:$G$64,MATCH($B51,BANDAS!$B$9:$B$64,0))</f>
        <v/>
      </c>
    </row>
    <row r="52" ht="26" customHeight="1">
      <c r="A52" s="8" t="inlineStr">
        <is>
          <t>FITNESS</t>
        </is>
      </c>
      <c r="B52" s="8" t="inlineStr">
        <is>
          <t>HGH 191AA</t>
        </is>
      </c>
      <c r="C52" s="9" t="inlineStr">
        <is>
          <t>12 iu</t>
        </is>
      </c>
      <c r="D52" s="10">
        <f>ROUND(AVERAGE(BANDAS!$E$36,BANDAS!$F$36)*12*BANDAS!$E$5*BANDAS!$E$6/50,0)*50</f>
        <v/>
      </c>
      <c r="E52" s="11">
        <f>D52/BANDAS!$E$5</f>
        <v/>
      </c>
      <c r="F52" s="12">
        <f>INDEX(BANDAS!$H$9:$H$64,MATCH($B52,BANDAS!$B$9:$B$64,0))</f>
        <v/>
      </c>
      <c r="G52" s="13">
        <f>INDEX(BANDAS!$G$9:$G$64,MATCH($B52,BANDAS!$B$9:$B$64,0))</f>
        <v/>
      </c>
    </row>
    <row r="53" ht="26" customHeight="1">
      <c r="A53" s="8" t="inlineStr">
        <is>
          <t>FITNESS</t>
        </is>
      </c>
      <c r="B53" s="8" t="inlineStr">
        <is>
          <t>HGH 191AA</t>
        </is>
      </c>
      <c r="C53" s="9" t="inlineStr">
        <is>
          <t>15 iu</t>
        </is>
      </c>
      <c r="D53" s="10">
        <f>ROUND(AVERAGE(BANDAS!$E$36,BANDAS!$F$36)*15*BANDAS!$E$5*BANDAS!$E$6/50,0)*50</f>
        <v/>
      </c>
      <c r="E53" s="11">
        <f>D53/BANDAS!$E$5</f>
        <v/>
      </c>
      <c r="F53" s="12">
        <f>INDEX(BANDAS!$H$9:$H$64,MATCH($B53,BANDAS!$B$9:$B$64,0))</f>
        <v/>
      </c>
      <c r="G53" s="13">
        <f>INDEX(BANDAS!$G$9:$G$64,MATCH($B53,BANDAS!$B$9:$B$64,0))</f>
        <v/>
      </c>
    </row>
    <row r="54" ht="26" customHeight="1">
      <c r="A54" s="8" t="inlineStr">
        <is>
          <t>FITNESS</t>
        </is>
      </c>
      <c r="B54" s="8" t="inlineStr">
        <is>
          <t>HGH 191AA</t>
        </is>
      </c>
      <c r="C54" s="9" t="inlineStr">
        <is>
          <t>24 iu</t>
        </is>
      </c>
      <c r="D54" s="10">
        <f>ROUND(AVERAGE(BANDAS!$E$36,BANDAS!$F$36)*24*BANDAS!$E$5*BANDAS!$E$6/50,0)*50</f>
        <v/>
      </c>
      <c r="E54" s="11">
        <f>D54/BANDAS!$E$5</f>
        <v/>
      </c>
      <c r="F54" s="12">
        <f>INDEX(BANDAS!$H$9:$H$64,MATCH($B54,BANDAS!$B$9:$B$64,0))</f>
        <v/>
      </c>
      <c r="G54" s="13">
        <f>INDEX(BANDAS!$G$9:$G$64,MATCH($B54,BANDAS!$B$9:$B$64,0))</f>
        <v/>
      </c>
    </row>
    <row r="55" ht="26" customHeight="1">
      <c r="A55" s="8" t="inlineStr">
        <is>
          <t>FITNESS</t>
        </is>
      </c>
      <c r="B55" s="8" t="inlineStr">
        <is>
          <t>HGH 191AA</t>
        </is>
      </c>
      <c r="C55" s="9" t="inlineStr">
        <is>
          <t>36 iu</t>
        </is>
      </c>
      <c r="D55" s="10">
        <f>ROUND(AVERAGE(BANDAS!$E$36,BANDAS!$F$36)*36*BANDAS!$E$5*BANDAS!$E$6/50,0)*50</f>
        <v/>
      </c>
      <c r="E55" s="11">
        <f>D55/BANDAS!$E$5</f>
        <v/>
      </c>
      <c r="F55" s="12">
        <f>INDEX(BANDAS!$H$9:$H$64,MATCH($B55,BANDAS!$B$9:$B$64,0))</f>
        <v/>
      </c>
      <c r="G55" s="13">
        <f>INDEX(BANDAS!$G$9:$G$64,MATCH($B55,BANDAS!$B$9:$B$64,0))</f>
        <v/>
      </c>
    </row>
    <row r="56" ht="26" customHeight="1">
      <c r="A56" s="8" t="inlineStr">
        <is>
          <t>FITNESS</t>
        </is>
      </c>
      <c r="B56" s="8" t="inlineStr">
        <is>
          <t>Hexarelin</t>
        </is>
      </c>
      <c r="C56" s="9" t="inlineStr">
        <is>
          <t>2 mg</t>
        </is>
      </c>
      <c r="D56" s="10">
        <f>ROUND(AVERAGE(BANDAS!$E$37,BANDAS!$F$37)*2*BANDAS!$E$5*BANDAS!$E$6/50,0)*50</f>
        <v/>
      </c>
      <c r="E56" s="11">
        <f>D56/BANDAS!$E$5</f>
        <v/>
      </c>
      <c r="F56" s="12">
        <f>INDEX(BANDAS!$H$9:$H$64,MATCH($B56,BANDAS!$B$9:$B$64,0))</f>
        <v/>
      </c>
      <c r="G56" s="13">
        <f>INDEX(BANDAS!$G$9:$G$64,MATCH($B56,BANDAS!$B$9:$B$64,0))</f>
        <v/>
      </c>
    </row>
    <row r="57" ht="26" customHeight="1">
      <c r="A57" s="8" t="inlineStr">
        <is>
          <t>FITNESS</t>
        </is>
      </c>
      <c r="B57" s="8" t="inlineStr">
        <is>
          <t>Hexarelin</t>
        </is>
      </c>
      <c r="C57" s="9" t="inlineStr">
        <is>
          <t>5 mg</t>
        </is>
      </c>
      <c r="D57" s="10">
        <f>ROUND(AVERAGE(BANDAS!$E$37,BANDAS!$F$37)*5*BANDAS!$E$5*BANDAS!$E$6/50,0)*50</f>
        <v/>
      </c>
      <c r="E57" s="11">
        <f>D57/BANDAS!$E$5</f>
        <v/>
      </c>
      <c r="F57" s="12">
        <f>INDEX(BANDAS!$H$9:$H$64,MATCH($B57,BANDAS!$B$9:$B$64,0))</f>
        <v/>
      </c>
      <c r="G57" s="13">
        <f>INDEX(BANDAS!$G$9:$G$64,MATCH($B57,BANDAS!$B$9:$B$64,0))</f>
        <v/>
      </c>
    </row>
    <row r="58" ht="26" customHeight="1">
      <c r="A58" s="8" t="inlineStr">
        <is>
          <t>FITNESS</t>
        </is>
      </c>
      <c r="B58" s="8" t="inlineStr">
        <is>
          <t>IGF-1 LR3</t>
        </is>
      </c>
      <c r="C58" s="9" t="inlineStr">
        <is>
          <t>0.1 mg</t>
        </is>
      </c>
      <c r="D58" s="10">
        <f>ROUND(AVERAGE(BANDAS!$E$38,BANDAS!$F$38)*0.1*BANDAS!$E$5*BANDAS!$E$6/50,0)*50</f>
        <v/>
      </c>
      <c r="E58" s="11">
        <f>D58/BANDAS!$E$5</f>
        <v/>
      </c>
      <c r="F58" s="12">
        <f>INDEX(BANDAS!$H$9:$H$64,MATCH($B58,BANDAS!$B$9:$B$64,0))</f>
        <v/>
      </c>
      <c r="G58" s="13">
        <f>INDEX(BANDAS!$G$9:$G$64,MATCH($B58,BANDAS!$B$9:$B$64,0))</f>
        <v/>
      </c>
    </row>
    <row r="59" ht="26" customHeight="1">
      <c r="A59" s="8" t="inlineStr">
        <is>
          <t>FITNESS</t>
        </is>
      </c>
      <c r="B59" s="8" t="inlineStr">
        <is>
          <t>IGF-1 LR3</t>
        </is>
      </c>
      <c r="C59" s="9" t="inlineStr">
        <is>
          <t>1 mg</t>
        </is>
      </c>
      <c r="D59" s="10">
        <f>ROUND(AVERAGE(BANDAS!$E$38,BANDAS!$F$38)*1*BANDAS!$E$5*BANDAS!$E$6/50,0)*50</f>
        <v/>
      </c>
      <c r="E59" s="11">
        <f>D59/BANDAS!$E$5</f>
        <v/>
      </c>
      <c r="F59" s="12">
        <f>INDEX(BANDAS!$H$9:$H$64,MATCH($B59,BANDAS!$B$9:$B$64,0))</f>
        <v/>
      </c>
      <c r="G59" s="13">
        <f>INDEX(BANDAS!$G$9:$G$64,MATCH($B59,BANDAS!$B$9:$B$64,0))</f>
        <v/>
      </c>
    </row>
    <row r="60" ht="26" customHeight="1">
      <c r="A60" s="8" t="inlineStr">
        <is>
          <t>FITNESS</t>
        </is>
      </c>
      <c r="B60" s="8" t="inlineStr">
        <is>
          <t>Ipamorelin</t>
        </is>
      </c>
      <c r="C60" s="9" t="inlineStr">
        <is>
          <t>5 mg</t>
        </is>
      </c>
      <c r="D60" s="10">
        <f>ROUND(AVERAGE(BANDAS!$E$39,BANDAS!$F$39)*5*BANDAS!$E$5*BANDAS!$E$6/50,0)*50</f>
        <v/>
      </c>
      <c r="E60" s="11">
        <f>D60/BANDAS!$E$5</f>
        <v/>
      </c>
      <c r="F60" s="12">
        <f>INDEX(BANDAS!$H$9:$H$64,MATCH($B60,BANDAS!$B$9:$B$64,0))</f>
        <v/>
      </c>
      <c r="G60" s="13">
        <f>INDEX(BANDAS!$G$9:$G$64,MATCH($B60,BANDAS!$B$9:$B$64,0))</f>
        <v/>
      </c>
    </row>
    <row r="61" ht="26" customHeight="1">
      <c r="A61" s="8" t="inlineStr">
        <is>
          <t>FITNESS</t>
        </is>
      </c>
      <c r="B61" s="8" t="inlineStr">
        <is>
          <t>Ipamorelin</t>
        </is>
      </c>
      <c r="C61" s="9" t="inlineStr">
        <is>
          <t>10 mg</t>
        </is>
      </c>
      <c r="D61" s="10">
        <f>ROUND(AVERAGE(BANDAS!$E$39,BANDAS!$F$39)*10*BANDAS!$E$5*BANDAS!$E$6/50,0)*50</f>
        <v/>
      </c>
      <c r="E61" s="11">
        <f>D61/BANDAS!$E$5</f>
        <v/>
      </c>
      <c r="F61" s="12">
        <f>INDEX(BANDAS!$H$9:$H$64,MATCH($B61,BANDAS!$B$9:$B$64,0))</f>
        <v/>
      </c>
      <c r="G61" s="13">
        <f>INDEX(BANDAS!$G$9:$G$64,MATCH($B61,BANDAS!$B$9:$B$64,0))</f>
        <v/>
      </c>
    </row>
    <row r="62" ht="26" customHeight="1">
      <c r="A62" s="8" t="inlineStr">
        <is>
          <t>FITNESS</t>
        </is>
      </c>
      <c r="B62" s="8" t="inlineStr">
        <is>
          <t>L-Carnitine</t>
        </is>
      </c>
      <c r="C62" s="9" t="inlineStr">
        <is>
          <t>600 mg</t>
        </is>
      </c>
      <c r="D62" s="10">
        <f>ROUND(AVERAGE(BANDAS!$E$40,BANDAS!$F$40)*600*BANDAS!$E$5*BANDAS!$E$6/50,0)*50</f>
        <v/>
      </c>
      <c r="E62" s="11">
        <f>D62/BANDAS!$E$5</f>
        <v/>
      </c>
      <c r="F62" s="12">
        <f>INDEX(BANDAS!$H$9:$H$64,MATCH($B62,BANDAS!$B$9:$B$64,0))</f>
        <v/>
      </c>
      <c r="G62" s="13">
        <f>INDEX(BANDAS!$G$9:$G$64,MATCH($B62,BANDAS!$B$9:$B$64,0))</f>
        <v/>
      </c>
    </row>
    <row r="63" ht="26" customHeight="1">
      <c r="A63" s="8" t="inlineStr">
        <is>
          <t>FITNESS</t>
        </is>
      </c>
      <c r="B63" s="8" t="inlineStr">
        <is>
          <t>L-Carnitine</t>
        </is>
      </c>
      <c r="C63" s="9" t="inlineStr">
        <is>
          <t>1200 mg</t>
        </is>
      </c>
      <c r="D63" s="10">
        <f>ROUND(AVERAGE(BANDAS!$E$40,BANDAS!$F$40)*1200*BANDAS!$E$5*BANDAS!$E$6/50,0)*50</f>
        <v/>
      </c>
      <c r="E63" s="11">
        <f>D63/BANDAS!$E$5</f>
        <v/>
      </c>
      <c r="F63" s="12">
        <f>INDEX(BANDAS!$H$9:$H$64,MATCH($B63,BANDAS!$B$9:$B$64,0))</f>
        <v/>
      </c>
      <c r="G63" s="13">
        <f>INDEX(BANDAS!$G$9:$G$64,MATCH($B63,BANDAS!$B$9:$B$64,0))</f>
        <v/>
      </c>
    </row>
    <row r="64" ht="26" customHeight="1">
      <c r="A64" s="8" t="inlineStr">
        <is>
          <t>FITNESS</t>
        </is>
      </c>
      <c r="B64" s="8" t="inlineStr">
        <is>
          <t>Lipo-C + B12</t>
        </is>
      </c>
      <c r="C64" s="9" t="inlineStr">
        <is>
          <t>10 ml</t>
        </is>
      </c>
      <c r="D64" s="10">
        <f>ROUND(AVERAGE(BANDAS!$E$41,BANDAS!$F$41)*10*BANDAS!$E$5*BANDAS!$E$6/50,0)*50</f>
        <v/>
      </c>
      <c r="E64" s="11">
        <f>D64/BANDAS!$E$5</f>
        <v/>
      </c>
      <c r="F64" s="12">
        <f>INDEX(BANDAS!$H$9:$H$64,MATCH($B64,BANDAS!$B$9:$B$64,0))</f>
        <v/>
      </c>
      <c r="G64" s="13">
        <f>INDEX(BANDAS!$G$9:$G$64,MATCH($B64,BANDAS!$B$9:$B$64,0))</f>
        <v/>
      </c>
    </row>
    <row r="65" ht="26" customHeight="1">
      <c r="A65" s="8" t="inlineStr">
        <is>
          <t>FITNESS</t>
        </is>
      </c>
      <c r="B65" s="8" t="inlineStr">
        <is>
          <t>MOTS-c</t>
        </is>
      </c>
      <c r="C65" s="9" t="inlineStr">
        <is>
          <t>10 mg</t>
        </is>
      </c>
      <c r="D65" s="10">
        <f>ROUND(AVERAGE(BANDAS!$E$42,BANDAS!$F$42)*10*BANDAS!$E$5*BANDAS!$E$6/50,0)*50</f>
        <v/>
      </c>
      <c r="E65" s="11">
        <f>D65/BANDAS!$E$5</f>
        <v/>
      </c>
      <c r="F65" s="12">
        <f>INDEX(BANDAS!$H$9:$H$64,MATCH($B65,BANDAS!$B$9:$B$64,0))</f>
        <v/>
      </c>
      <c r="G65" s="13">
        <f>INDEX(BANDAS!$G$9:$G$64,MATCH($B65,BANDAS!$B$9:$B$64,0))</f>
        <v/>
      </c>
    </row>
    <row r="66" ht="26" customHeight="1">
      <c r="A66" s="8" t="inlineStr">
        <is>
          <t>FITNESS</t>
        </is>
      </c>
      <c r="B66" s="8" t="inlineStr">
        <is>
          <t>MOTS-c</t>
        </is>
      </c>
      <c r="C66" s="9" t="inlineStr">
        <is>
          <t>20 mg</t>
        </is>
      </c>
      <c r="D66" s="10">
        <f>ROUND(AVERAGE(BANDAS!$E$42,BANDAS!$F$42)*20*BANDAS!$E$5*BANDAS!$E$6/50,0)*50</f>
        <v/>
      </c>
      <c r="E66" s="11">
        <f>D66/BANDAS!$E$5</f>
        <v/>
      </c>
      <c r="F66" s="12">
        <f>INDEX(BANDAS!$H$9:$H$64,MATCH($B66,BANDAS!$B$9:$B$64,0))</f>
        <v/>
      </c>
      <c r="G66" s="13">
        <f>INDEX(BANDAS!$G$9:$G$64,MATCH($B66,BANDAS!$B$9:$B$64,0))</f>
        <v/>
      </c>
    </row>
    <row r="67" ht="26" customHeight="1">
      <c r="A67" s="8" t="inlineStr">
        <is>
          <t>FITNESS</t>
        </is>
      </c>
      <c r="B67" s="8" t="inlineStr">
        <is>
          <t>MOTS-c</t>
        </is>
      </c>
      <c r="C67" s="9" t="inlineStr">
        <is>
          <t>40 mg</t>
        </is>
      </c>
      <c r="D67" s="10">
        <f>ROUND(AVERAGE(BANDAS!$E$42,BANDAS!$F$42)*40*BANDAS!$E$5*BANDAS!$E$6/50,0)*50</f>
        <v/>
      </c>
      <c r="E67" s="11">
        <f>D67/BANDAS!$E$5</f>
        <v/>
      </c>
      <c r="F67" s="12">
        <f>INDEX(BANDAS!$H$9:$H$64,MATCH($B67,BANDAS!$B$9:$B$64,0))</f>
        <v/>
      </c>
      <c r="G67" s="13">
        <f>INDEX(BANDAS!$G$9:$G$64,MATCH($B67,BANDAS!$B$9:$B$64,0))</f>
        <v/>
      </c>
    </row>
    <row r="68" ht="26" customHeight="1">
      <c r="A68" s="8" t="inlineStr">
        <is>
          <t>FITNESS</t>
        </is>
      </c>
      <c r="B68" s="8" t="inlineStr">
        <is>
          <t>Mazdutide</t>
        </is>
      </c>
      <c r="C68" s="9" t="inlineStr">
        <is>
          <t>5 mg</t>
        </is>
      </c>
      <c r="D68" s="10">
        <f>ROUND(AVERAGE(BANDAS!$E$43,BANDAS!$F$43)*5*BANDAS!$E$5*BANDAS!$E$6/50,0)*50</f>
        <v/>
      </c>
      <c r="E68" s="11">
        <f>D68/BANDAS!$E$5</f>
        <v/>
      </c>
      <c r="F68" s="12">
        <f>INDEX(BANDAS!$H$9:$H$64,MATCH($B68,BANDAS!$B$9:$B$64,0))</f>
        <v/>
      </c>
      <c r="G68" s="13">
        <f>INDEX(BANDAS!$G$9:$G$64,MATCH($B68,BANDAS!$B$9:$B$64,0))</f>
        <v/>
      </c>
    </row>
    <row r="69" ht="26" customHeight="1">
      <c r="A69" s="8" t="inlineStr">
        <is>
          <t>FITNESS</t>
        </is>
      </c>
      <c r="B69" s="8" t="inlineStr">
        <is>
          <t>Mazdutide</t>
        </is>
      </c>
      <c r="C69" s="9" t="inlineStr">
        <is>
          <t>10 mg</t>
        </is>
      </c>
      <c r="D69" s="10">
        <f>ROUND(AVERAGE(BANDAS!$E$43,BANDAS!$F$43)*10*BANDAS!$E$5*BANDAS!$E$6/50,0)*50</f>
        <v/>
      </c>
      <c r="E69" s="11">
        <f>D69/BANDAS!$E$5</f>
        <v/>
      </c>
      <c r="F69" s="12">
        <f>INDEX(BANDAS!$H$9:$H$64,MATCH($B69,BANDAS!$B$9:$B$64,0))</f>
        <v/>
      </c>
      <c r="G69" s="13">
        <f>INDEX(BANDAS!$G$9:$G$64,MATCH($B69,BANDAS!$B$9:$B$64,0))</f>
        <v/>
      </c>
    </row>
    <row r="70" ht="26" customHeight="1">
      <c r="A70" s="8" t="inlineStr">
        <is>
          <t>FITNESS</t>
        </is>
      </c>
      <c r="B70" s="8" t="inlineStr">
        <is>
          <t>Retatrutide</t>
        </is>
      </c>
      <c r="C70" s="9" t="inlineStr">
        <is>
          <t>5 mg</t>
        </is>
      </c>
      <c r="D70" s="10">
        <f>ROUND(AVERAGE(BANDAS!$E$44,BANDAS!$F$44)*5*BANDAS!$E$5*BANDAS!$E$6/50,0)*50</f>
        <v/>
      </c>
      <c r="E70" s="11">
        <f>D70/BANDAS!$E$5</f>
        <v/>
      </c>
      <c r="F70" s="12">
        <f>INDEX(BANDAS!$H$9:$H$64,MATCH($B70,BANDAS!$B$9:$B$64,0))</f>
        <v/>
      </c>
      <c r="G70" s="14">
        <f>INDEX(BANDAS!$G$9:$G$64,MATCH($B70,BANDAS!$B$9:$B$64,0))</f>
        <v/>
      </c>
    </row>
    <row r="71" ht="26" customHeight="1">
      <c r="A71" s="8" t="inlineStr">
        <is>
          <t>FITNESS</t>
        </is>
      </c>
      <c r="B71" s="8" t="inlineStr">
        <is>
          <t>Retatrutide</t>
        </is>
      </c>
      <c r="C71" s="9" t="inlineStr">
        <is>
          <t>10 mg</t>
        </is>
      </c>
      <c r="D71" s="10">
        <f>ROUND(AVERAGE(BANDAS!$E$44,BANDAS!$F$44)*10*BANDAS!$E$5*BANDAS!$E$6/50,0)*50</f>
        <v/>
      </c>
      <c r="E71" s="11">
        <f>D71/BANDAS!$E$5</f>
        <v/>
      </c>
      <c r="F71" s="12">
        <f>INDEX(BANDAS!$H$9:$H$64,MATCH($B71,BANDAS!$B$9:$B$64,0))</f>
        <v/>
      </c>
      <c r="G71" s="14">
        <f>INDEX(BANDAS!$G$9:$G$64,MATCH($B71,BANDAS!$B$9:$B$64,0))</f>
        <v/>
      </c>
    </row>
    <row r="72" ht="26" customHeight="1">
      <c r="A72" s="8" t="inlineStr">
        <is>
          <t>FITNESS</t>
        </is>
      </c>
      <c r="B72" s="8" t="inlineStr">
        <is>
          <t>Retatrutide</t>
        </is>
      </c>
      <c r="C72" s="9" t="inlineStr">
        <is>
          <t>15 mg</t>
        </is>
      </c>
      <c r="D72" s="10">
        <f>ROUND(AVERAGE(BANDAS!$E$44,BANDAS!$F$44)*15*BANDAS!$E$5*BANDAS!$E$6/50,0)*50</f>
        <v/>
      </c>
      <c r="E72" s="11">
        <f>D72/BANDAS!$E$5</f>
        <v/>
      </c>
      <c r="F72" s="12">
        <f>INDEX(BANDAS!$H$9:$H$64,MATCH($B72,BANDAS!$B$9:$B$64,0))</f>
        <v/>
      </c>
      <c r="G72" s="14">
        <f>INDEX(BANDAS!$G$9:$G$64,MATCH($B72,BANDAS!$B$9:$B$64,0))</f>
        <v/>
      </c>
    </row>
    <row r="73" ht="26" customHeight="1">
      <c r="A73" s="8" t="inlineStr">
        <is>
          <t>FITNESS</t>
        </is>
      </c>
      <c r="B73" s="8" t="inlineStr">
        <is>
          <t>Retatrutide</t>
        </is>
      </c>
      <c r="C73" s="9" t="inlineStr">
        <is>
          <t>20 mg</t>
        </is>
      </c>
      <c r="D73" s="10">
        <f>ROUND(AVERAGE(BANDAS!$E$44,BANDAS!$F$44)*20*BANDAS!$E$5*BANDAS!$E$6/50,0)*50</f>
        <v/>
      </c>
      <c r="E73" s="11">
        <f>D73/BANDAS!$E$5</f>
        <v/>
      </c>
      <c r="F73" s="12">
        <f>INDEX(BANDAS!$H$9:$H$64,MATCH($B73,BANDAS!$B$9:$B$64,0))</f>
        <v/>
      </c>
      <c r="G73" s="14">
        <f>INDEX(BANDAS!$G$9:$G$64,MATCH($B73,BANDAS!$B$9:$B$64,0))</f>
        <v/>
      </c>
    </row>
    <row r="74" ht="26" customHeight="1">
      <c r="A74" s="8" t="inlineStr">
        <is>
          <t>FITNESS</t>
        </is>
      </c>
      <c r="B74" s="8" t="inlineStr">
        <is>
          <t>Retatrutide</t>
        </is>
      </c>
      <c r="C74" s="9" t="inlineStr">
        <is>
          <t>30 mg</t>
        </is>
      </c>
      <c r="D74" s="10">
        <f>ROUND(AVERAGE(BANDAS!$E$44,BANDAS!$F$44)*30*BANDAS!$E$5*BANDAS!$E$6/50,0)*50</f>
        <v/>
      </c>
      <c r="E74" s="11">
        <f>D74/BANDAS!$E$5</f>
        <v/>
      </c>
      <c r="F74" s="12">
        <f>INDEX(BANDAS!$H$9:$H$64,MATCH($B74,BANDAS!$B$9:$B$64,0))</f>
        <v/>
      </c>
      <c r="G74" s="14">
        <f>INDEX(BANDAS!$G$9:$G$64,MATCH($B74,BANDAS!$B$9:$B$64,0))</f>
        <v/>
      </c>
    </row>
    <row r="75" ht="26" customHeight="1">
      <c r="A75" s="8" t="inlineStr">
        <is>
          <t>FITNESS</t>
        </is>
      </c>
      <c r="B75" s="8" t="inlineStr">
        <is>
          <t>Retatrutide</t>
        </is>
      </c>
      <c r="C75" s="9" t="inlineStr">
        <is>
          <t>40 mg</t>
        </is>
      </c>
      <c r="D75" s="10">
        <f>ROUND(AVERAGE(BANDAS!$E$44,BANDAS!$F$44)*40*BANDAS!$E$5*BANDAS!$E$6/50,0)*50</f>
        <v/>
      </c>
      <c r="E75" s="11">
        <f>D75/BANDAS!$E$5</f>
        <v/>
      </c>
      <c r="F75" s="12">
        <f>INDEX(BANDAS!$H$9:$H$64,MATCH($B75,BANDAS!$B$9:$B$64,0))</f>
        <v/>
      </c>
      <c r="G75" s="14">
        <f>INDEX(BANDAS!$G$9:$G$64,MATCH($B75,BANDAS!$B$9:$B$64,0))</f>
        <v/>
      </c>
    </row>
    <row r="76" ht="26" customHeight="1">
      <c r="A76" s="8" t="inlineStr">
        <is>
          <t>FITNESS</t>
        </is>
      </c>
      <c r="B76" s="8" t="inlineStr">
        <is>
          <t>Retatrutide</t>
        </is>
      </c>
      <c r="C76" s="9" t="inlineStr">
        <is>
          <t>50 mg</t>
        </is>
      </c>
      <c r="D76" s="10">
        <f>ROUND(AVERAGE(BANDAS!$E$44,BANDAS!$F$44)*50*BANDAS!$E$5*BANDAS!$E$6/50,0)*50</f>
        <v/>
      </c>
      <c r="E76" s="11">
        <f>D76/BANDAS!$E$5</f>
        <v/>
      </c>
      <c r="F76" s="12">
        <f>INDEX(BANDAS!$H$9:$H$64,MATCH($B76,BANDAS!$B$9:$B$64,0))</f>
        <v/>
      </c>
      <c r="G76" s="14">
        <f>INDEX(BANDAS!$G$9:$G$64,MATCH($B76,BANDAS!$B$9:$B$64,0))</f>
        <v/>
      </c>
    </row>
    <row r="77" ht="26" customHeight="1">
      <c r="A77" s="8" t="inlineStr">
        <is>
          <t>FITNESS</t>
        </is>
      </c>
      <c r="B77" s="8" t="inlineStr">
        <is>
          <t>Retatrutide</t>
        </is>
      </c>
      <c r="C77" s="9" t="inlineStr">
        <is>
          <t>60 mg</t>
        </is>
      </c>
      <c r="D77" s="10">
        <f>ROUND(AVERAGE(BANDAS!$E$44,BANDAS!$F$44)*60*BANDAS!$E$5*BANDAS!$E$6/50,0)*50</f>
        <v/>
      </c>
      <c r="E77" s="11">
        <f>D77/BANDAS!$E$5</f>
        <v/>
      </c>
      <c r="F77" s="12">
        <f>INDEX(BANDAS!$H$9:$H$64,MATCH($B77,BANDAS!$B$9:$B$64,0))</f>
        <v/>
      </c>
      <c r="G77" s="14">
        <f>INDEX(BANDAS!$G$9:$G$64,MATCH($B77,BANDAS!$B$9:$B$64,0))</f>
        <v/>
      </c>
    </row>
    <row r="78" ht="26" customHeight="1">
      <c r="A78" s="8" t="inlineStr">
        <is>
          <t>FITNESS</t>
        </is>
      </c>
      <c r="B78" s="8" t="inlineStr">
        <is>
          <t>SS-31</t>
        </is>
      </c>
      <c r="C78" s="9" t="inlineStr">
        <is>
          <t>10 mg</t>
        </is>
      </c>
      <c r="D78" s="10">
        <f>ROUND(AVERAGE(BANDAS!$E$45,BANDAS!$F$45)*10*BANDAS!$E$5*BANDAS!$E$6/50,0)*50</f>
        <v/>
      </c>
      <c r="E78" s="11">
        <f>D78/BANDAS!$E$5</f>
        <v/>
      </c>
      <c r="F78" s="12">
        <f>INDEX(BANDAS!$H$9:$H$64,MATCH($B78,BANDAS!$B$9:$B$64,0))</f>
        <v/>
      </c>
      <c r="G78" s="13">
        <f>INDEX(BANDAS!$G$9:$G$64,MATCH($B78,BANDAS!$B$9:$B$64,0))</f>
        <v/>
      </c>
    </row>
    <row r="79" ht="26" customHeight="1">
      <c r="A79" s="8" t="inlineStr">
        <is>
          <t>FITNESS</t>
        </is>
      </c>
      <c r="B79" s="8" t="inlineStr">
        <is>
          <t>SS-31</t>
        </is>
      </c>
      <c r="C79" s="9" t="inlineStr">
        <is>
          <t>50 mg</t>
        </is>
      </c>
      <c r="D79" s="10">
        <f>ROUND(AVERAGE(BANDAS!$E$45,BANDAS!$F$45)*50*BANDAS!$E$5*BANDAS!$E$6/50,0)*50</f>
        <v/>
      </c>
      <c r="E79" s="11">
        <f>D79/BANDAS!$E$5</f>
        <v/>
      </c>
      <c r="F79" s="12">
        <f>INDEX(BANDAS!$H$9:$H$64,MATCH($B79,BANDAS!$B$9:$B$64,0))</f>
        <v/>
      </c>
      <c r="G79" s="13">
        <f>INDEX(BANDAS!$G$9:$G$64,MATCH($B79,BANDAS!$B$9:$B$64,0))</f>
        <v/>
      </c>
    </row>
    <row r="80" ht="26" customHeight="1">
      <c r="A80" s="8" t="inlineStr">
        <is>
          <t>FITNESS</t>
        </is>
      </c>
      <c r="B80" s="8" t="inlineStr">
        <is>
          <t>Semaglutide</t>
        </is>
      </c>
      <c r="C80" s="9" t="inlineStr">
        <is>
          <t>5 mg</t>
        </is>
      </c>
      <c r="D80" s="10">
        <f>ROUND(AVERAGE(BANDAS!$E$46,BANDAS!$F$46)*5*BANDAS!$E$5*BANDAS!$E$6/50,0)*50</f>
        <v/>
      </c>
      <c r="E80" s="11">
        <f>D80/BANDAS!$E$5</f>
        <v/>
      </c>
      <c r="F80" s="12">
        <f>INDEX(BANDAS!$H$9:$H$64,MATCH($B80,BANDAS!$B$9:$B$64,0))</f>
        <v/>
      </c>
      <c r="G80" s="14">
        <f>INDEX(BANDAS!$G$9:$G$64,MATCH($B80,BANDAS!$B$9:$B$64,0))</f>
        <v/>
      </c>
    </row>
    <row r="81" ht="26" customHeight="1">
      <c r="A81" s="8" t="inlineStr">
        <is>
          <t>FITNESS</t>
        </is>
      </c>
      <c r="B81" s="8" t="inlineStr">
        <is>
          <t>Semaglutide</t>
        </is>
      </c>
      <c r="C81" s="9" t="inlineStr">
        <is>
          <t>10 mg</t>
        </is>
      </c>
      <c r="D81" s="10">
        <f>ROUND(AVERAGE(BANDAS!$E$46,BANDAS!$F$46)*10*BANDAS!$E$5*BANDAS!$E$6/50,0)*50</f>
        <v/>
      </c>
      <c r="E81" s="11">
        <f>D81/BANDAS!$E$5</f>
        <v/>
      </c>
      <c r="F81" s="12">
        <f>INDEX(BANDAS!$H$9:$H$64,MATCH($B81,BANDAS!$B$9:$B$64,0))</f>
        <v/>
      </c>
      <c r="G81" s="14">
        <f>INDEX(BANDAS!$G$9:$G$64,MATCH($B81,BANDAS!$B$9:$B$64,0))</f>
        <v/>
      </c>
    </row>
    <row r="82" ht="26" customHeight="1">
      <c r="A82" s="8" t="inlineStr">
        <is>
          <t>FITNESS</t>
        </is>
      </c>
      <c r="B82" s="8" t="inlineStr">
        <is>
          <t>Semaglutide</t>
        </is>
      </c>
      <c r="C82" s="9" t="inlineStr">
        <is>
          <t>15 mg</t>
        </is>
      </c>
      <c r="D82" s="10">
        <f>ROUND(AVERAGE(BANDAS!$E$46,BANDAS!$F$46)*15*BANDAS!$E$5*BANDAS!$E$6/50,0)*50</f>
        <v/>
      </c>
      <c r="E82" s="11">
        <f>D82/BANDAS!$E$5</f>
        <v/>
      </c>
      <c r="F82" s="12">
        <f>INDEX(BANDAS!$H$9:$H$64,MATCH($B82,BANDAS!$B$9:$B$64,0))</f>
        <v/>
      </c>
      <c r="G82" s="14">
        <f>INDEX(BANDAS!$G$9:$G$64,MATCH($B82,BANDAS!$B$9:$B$64,0))</f>
        <v/>
      </c>
    </row>
    <row r="83" ht="26" customHeight="1">
      <c r="A83" s="8" t="inlineStr">
        <is>
          <t>FITNESS</t>
        </is>
      </c>
      <c r="B83" s="8" t="inlineStr">
        <is>
          <t>Semaglutide</t>
        </is>
      </c>
      <c r="C83" s="9" t="inlineStr">
        <is>
          <t>20 mg</t>
        </is>
      </c>
      <c r="D83" s="10">
        <f>ROUND(AVERAGE(BANDAS!$E$46,BANDAS!$F$46)*20*BANDAS!$E$5*BANDAS!$E$6/50,0)*50</f>
        <v/>
      </c>
      <c r="E83" s="11">
        <f>D83/BANDAS!$E$5</f>
        <v/>
      </c>
      <c r="F83" s="12">
        <f>INDEX(BANDAS!$H$9:$H$64,MATCH($B83,BANDAS!$B$9:$B$64,0))</f>
        <v/>
      </c>
      <c r="G83" s="14">
        <f>INDEX(BANDAS!$G$9:$G$64,MATCH($B83,BANDAS!$B$9:$B$64,0))</f>
        <v/>
      </c>
    </row>
    <row r="84" ht="26" customHeight="1">
      <c r="A84" s="8" t="inlineStr">
        <is>
          <t>FITNESS</t>
        </is>
      </c>
      <c r="B84" s="8" t="inlineStr">
        <is>
          <t>Semaglutide</t>
        </is>
      </c>
      <c r="C84" s="9" t="inlineStr">
        <is>
          <t>30 mg</t>
        </is>
      </c>
      <c r="D84" s="10">
        <f>ROUND(AVERAGE(BANDAS!$E$46,BANDAS!$F$46)*30*BANDAS!$E$5*BANDAS!$E$6/50,0)*50</f>
        <v/>
      </c>
      <c r="E84" s="11">
        <f>D84/BANDAS!$E$5</f>
        <v/>
      </c>
      <c r="F84" s="12">
        <f>INDEX(BANDAS!$H$9:$H$64,MATCH($B84,BANDAS!$B$9:$B$64,0))</f>
        <v/>
      </c>
      <c r="G84" s="14">
        <f>INDEX(BANDAS!$G$9:$G$64,MATCH($B84,BANDAS!$B$9:$B$64,0))</f>
        <v/>
      </c>
    </row>
    <row r="85" ht="26" customHeight="1">
      <c r="A85" s="8" t="inlineStr">
        <is>
          <t>FITNESS</t>
        </is>
      </c>
      <c r="B85" s="8" t="inlineStr">
        <is>
          <t>Sermorelin</t>
        </is>
      </c>
      <c r="C85" s="9" t="inlineStr">
        <is>
          <t>5 mg</t>
        </is>
      </c>
      <c r="D85" s="10">
        <f>ROUND(AVERAGE(BANDAS!$E$47,BANDAS!$F$47)*5*BANDAS!$E$5*BANDAS!$E$6/50,0)*50</f>
        <v/>
      </c>
      <c r="E85" s="11">
        <f>D85/BANDAS!$E$5</f>
        <v/>
      </c>
      <c r="F85" s="12">
        <f>INDEX(BANDAS!$H$9:$H$64,MATCH($B85,BANDAS!$B$9:$B$64,0))</f>
        <v/>
      </c>
      <c r="G85" s="13">
        <f>INDEX(BANDAS!$G$9:$G$64,MATCH($B85,BANDAS!$B$9:$B$64,0))</f>
        <v/>
      </c>
    </row>
    <row r="86" ht="26" customHeight="1">
      <c r="A86" s="8" t="inlineStr">
        <is>
          <t>FITNESS</t>
        </is>
      </c>
      <c r="B86" s="8" t="inlineStr">
        <is>
          <t>Sermorelin</t>
        </is>
      </c>
      <c r="C86" s="9" t="inlineStr">
        <is>
          <t>10 mg</t>
        </is>
      </c>
      <c r="D86" s="10">
        <f>ROUND(AVERAGE(BANDAS!$E$47,BANDAS!$F$47)*10*BANDAS!$E$5*BANDAS!$E$6/50,0)*50</f>
        <v/>
      </c>
      <c r="E86" s="11">
        <f>D86/BANDAS!$E$5</f>
        <v/>
      </c>
      <c r="F86" s="12">
        <f>INDEX(BANDAS!$H$9:$H$64,MATCH($B86,BANDAS!$B$9:$B$64,0))</f>
        <v/>
      </c>
      <c r="G86" s="13">
        <f>INDEX(BANDAS!$G$9:$G$64,MATCH($B86,BANDAS!$B$9:$B$64,0))</f>
        <v/>
      </c>
    </row>
    <row r="87" ht="26" customHeight="1">
      <c r="A87" s="8" t="inlineStr">
        <is>
          <t>FITNESS</t>
        </is>
      </c>
      <c r="B87" s="8" t="inlineStr">
        <is>
          <t>TB-500</t>
        </is>
      </c>
      <c r="C87" s="9" t="inlineStr">
        <is>
          <t>5 mg</t>
        </is>
      </c>
      <c r="D87" s="10">
        <f>ROUND(AVERAGE(BANDAS!$E$48,BANDAS!$F$48)*5*BANDAS!$E$5*BANDAS!$E$6/50,0)*50</f>
        <v/>
      </c>
      <c r="E87" s="11">
        <f>D87/BANDAS!$E$5</f>
        <v/>
      </c>
      <c r="F87" s="12">
        <f>INDEX(BANDAS!$H$9:$H$64,MATCH($B87,BANDAS!$B$9:$B$64,0))</f>
        <v/>
      </c>
      <c r="G87" s="14">
        <f>INDEX(BANDAS!$G$9:$G$64,MATCH($B87,BANDAS!$B$9:$B$64,0))</f>
        <v/>
      </c>
    </row>
    <row r="88" ht="26" customHeight="1">
      <c r="A88" s="8" t="inlineStr">
        <is>
          <t>FITNESS</t>
        </is>
      </c>
      <c r="B88" s="8" t="inlineStr">
        <is>
          <t>TB-500</t>
        </is>
      </c>
      <c r="C88" s="9" t="inlineStr">
        <is>
          <t>10 mg</t>
        </is>
      </c>
      <c r="D88" s="10">
        <f>ROUND(AVERAGE(BANDAS!$E$48,BANDAS!$F$48)*10*BANDAS!$E$5*BANDAS!$E$6/50,0)*50</f>
        <v/>
      </c>
      <c r="E88" s="11">
        <f>D88/BANDAS!$E$5</f>
        <v/>
      </c>
      <c r="F88" s="12">
        <f>INDEX(BANDAS!$H$9:$H$64,MATCH($B88,BANDAS!$B$9:$B$64,0))</f>
        <v/>
      </c>
      <c r="G88" s="14">
        <f>INDEX(BANDAS!$G$9:$G$64,MATCH($B88,BANDAS!$B$9:$B$64,0))</f>
        <v/>
      </c>
    </row>
    <row r="89" ht="26" customHeight="1">
      <c r="A89" s="8" t="inlineStr">
        <is>
          <t>FITNESS</t>
        </is>
      </c>
      <c r="B89" s="8" t="inlineStr">
        <is>
          <t>Tesamorelin</t>
        </is>
      </c>
      <c r="C89" s="9" t="inlineStr">
        <is>
          <t>5 mg</t>
        </is>
      </c>
      <c r="D89" s="10">
        <f>ROUND(AVERAGE(BANDAS!$E$49,BANDAS!$F$49)*5*BANDAS!$E$5*BANDAS!$E$6/50,0)*50</f>
        <v/>
      </c>
      <c r="E89" s="11">
        <f>D89/BANDAS!$E$5</f>
        <v/>
      </c>
      <c r="F89" s="12">
        <f>INDEX(BANDAS!$H$9:$H$64,MATCH($B89,BANDAS!$B$9:$B$64,0))</f>
        <v/>
      </c>
      <c r="G89" s="13">
        <f>INDEX(BANDAS!$G$9:$G$64,MATCH($B89,BANDAS!$B$9:$B$64,0))</f>
        <v/>
      </c>
    </row>
    <row r="90" ht="26" customHeight="1">
      <c r="A90" s="8" t="inlineStr">
        <is>
          <t>FITNESS</t>
        </is>
      </c>
      <c r="B90" s="8" t="inlineStr">
        <is>
          <t>Tesamorelin</t>
        </is>
      </c>
      <c r="C90" s="9" t="inlineStr">
        <is>
          <t>10 mg</t>
        </is>
      </c>
      <c r="D90" s="10">
        <f>ROUND(AVERAGE(BANDAS!$E$49,BANDAS!$F$49)*10*BANDAS!$E$5*BANDAS!$E$6/50,0)*50</f>
        <v/>
      </c>
      <c r="E90" s="11">
        <f>D90/BANDAS!$E$5</f>
        <v/>
      </c>
      <c r="F90" s="12">
        <f>INDEX(BANDAS!$H$9:$H$64,MATCH($B90,BANDAS!$B$9:$B$64,0))</f>
        <v/>
      </c>
      <c r="G90" s="13">
        <f>INDEX(BANDAS!$G$9:$G$64,MATCH($B90,BANDAS!$B$9:$B$64,0))</f>
        <v/>
      </c>
    </row>
    <row r="91" ht="26" customHeight="1">
      <c r="A91" s="8" t="inlineStr">
        <is>
          <t>FITNESS</t>
        </is>
      </c>
      <c r="B91" s="8" t="inlineStr">
        <is>
          <t>Tesamorelin</t>
        </is>
      </c>
      <c r="C91" s="9" t="inlineStr">
        <is>
          <t>20 mg</t>
        </is>
      </c>
      <c r="D91" s="10">
        <f>ROUND(AVERAGE(BANDAS!$E$49,BANDAS!$F$49)*20*BANDAS!$E$5*BANDAS!$E$6/50,0)*50</f>
        <v/>
      </c>
      <c r="E91" s="11">
        <f>D91/BANDAS!$E$5</f>
        <v/>
      </c>
      <c r="F91" s="12">
        <f>INDEX(BANDAS!$H$9:$H$64,MATCH($B91,BANDAS!$B$9:$B$64,0))</f>
        <v/>
      </c>
      <c r="G91" s="13">
        <f>INDEX(BANDAS!$G$9:$G$64,MATCH($B91,BANDAS!$B$9:$B$64,0))</f>
        <v/>
      </c>
    </row>
    <row r="92" ht="26" customHeight="1">
      <c r="A92" s="8" t="inlineStr">
        <is>
          <t>FITNESS</t>
        </is>
      </c>
      <c r="B92" s="8" t="inlineStr">
        <is>
          <t>Tirzepatide</t>
        </is>
      </c>
      <c r="C92" s="9" t="inlineStr">
        <is>
          <t>5 mg</t>
        </is>
      </c>
      <c r="D92" s="10">
        <f>ROUND(AVERAGE(BANDAS!$E$50,BANDAS!$F$50)*5*BANDAS!$E$5*BANDAS!$E$6/50,0)*50</f>
        <v/>
      </c>
      <c r="E92" s="11">
        <f>D92/BANDAS!$E$5</f>
        <v/>
      </c>
      <c r="F92" s="12">
        <f>INDEX(BANDAS!$H$9:$H$64,MATCH($B92,BANDAS!$B$9:$B$64,0))</f>
        <v/>
      </c>
      <c r="G92" s="14">
        <f>INDEX(BANDAS!$G$9:$G$64,MATCH($B92,BANDAS!$B$9:$B$64,0))</f>
        <v/>
      </c>
    </row>
    <row r="93" ht="26" customHeight="1">
      <c r="A93" s="8" t="inlineStr">
        <is>
          <t>FITNESS</t>
        </is>
      </c>
      <c r="B93" s="8" t="inlineStr">
        <is>
          <t>Tirzepatide</t>
        </is>
      </c>
      <c r="C93" s="9" t="inlineStr">
        <is>
          <t>10 mg</t>
        </is>
      </c>
      <c r="D93" s="10">
        <f>ROUND(AVERAGE(BANDAS!$E$50,BANDAS!$F$50)*10*BANDAS!$E$5*BANDAS!$E$6/50,0)*50</f>
        <v/>
      </c>
      <c r="E93" s="11">
        <f>D93/BANDAS!$E$5</f>
        <v/>
      </c>
      <c r="F93" s="12">
        <f>INDEX(BANDAS!$H$9:$H$64,MATCH($B93,BANDAS!$B$9:$B$64,0))</f>
        <v/>
      </c>
      <c r="G93" s="14">
        <f>INDEX(BANDAS!$G$9:$G$64,MATCH($B93,BANDAS!$B$9:$B$64,0))</f>
        <v/>
      </c>
    </row>
    <row r="94" ht="26" customHeight="1">
      <c r="A94" s="8" t="inlineStr">
        <is>
          <t>FITNESS</t>
        </is>
      </c>
      <c r="B94" s="8" t="inlineStr">
        <is>
          <t>Tirzepatide</t>
        </is>
      </c>
      <c r="C94" s="9" t="inlineStr">
        <is>
          <t>15 mg</t>
        </is>
      </c>
      <c r="D94" s="10">
        <f>ROUND(AVERAGE(BANDAS!$E$50,BANDAS!$F$50)*15*BANDAS!$E$5*BANDAS!$E$6/50,0)*50</f>
        <v/>
      </c>
      <c r="E94" s="11">
        <f>D94/BANDAS!$E$5</f>
        <v/>
      </c>
      <c r="F94" s="12">
        <f>INDEX(BANDAS!$H$9:$H$64,MATCH($B94,BANDAS!$B$9:$B$64,0))</f>
        <v/>
      </c>
      <c r="G94" s="14">
        <f>INDEX(BANDAS!$G$9:$G$64,MATCH($B94,BANDAS!$B$9:$B$64,0))</f>
        <v/>
      </c>
    </row>
    <row r="95" ht="26" customHeight="1">
      <c r="A95" s="8" t="inlineStr">
        <is>
          <t>FITNESS</t>
        </is>
      </c>
      <c r="B95" s="8" t="inlineStr">
        <is>
          <t>Tirzepatide</t>
        </is>
      </c>
      <c r="C95" s="9" t="inlineStr">
        <is>
          <t>20 mg</t>
        </is>
      </c>
      <c r="D95" s="10">
        <f>ROUND(AVERAGE(BANDAS!$E$50,BANDAS!$F$50)*20*BANDAS!$E$5*BANDAS!$E$6/50,0)*50</f>
        <v/>
      </c>
      <c r="E95" s="11">
        <f>D95/BANDAS!$E$5</f>
        <v/>
      </c>
      <c r="F95" s="12">
        <f>INDEX(BANDAS!$H$9:$H$64,MATCH($B95,BANDAS!$B$9:$B$64,0))</f>
        <v/>
      </c>
      <c r="G95" s="14">
        <f>INDEX(BANDAS!$G$9:$G$64,MATCH($B95,BANDAS!$B$9:$B$64,0))</f>
        <v/>
      </c>
    </row>
    <row r="96" ht="26" customHeight="1">
      <c r="A96" s="8" t="inlineStr">
        <is>
          <t>FITNESS</t>
        </is>
      </c>
      <c r="B96" s="8" t="inlineStr">
        <is>
          <t>Tirzepatide</t>
        </is>
      </c>
      <c r="C96" s="9" t="inlineStr">
        <is>
          <t>30 mg</t>
        </is>
      </c>
      <c r="D96" s="10">
        <f>ROUND(AVERAGE(BANDAS!$E$50,BANDAS!$F$50)*30*BANDAS!$E$5*BANDAS!$E$6/50,0)*50</f>
        <v/>
      </c>
      <c r="E96" s="11">
        <f>D96/BANDAS!$E$5</f>
        <v/>
      </c>
      <c r="F96" s="12">
        <f>INDEX(BANDAS!$H$9:$H$64,MATCH($B96,BANDAS!$B$9:$B$64,0))</f>
        <v/>
      </c>
      <c r="G96" s="14">
        <f>INDEX(BANDAS!$G$9:$G$64,MATCH($B96,BANDAS!$B$9:$B$64,0))</f>
        <v/>
      </c>
    </row>
    <row r="97" ht="26" customHeight="1">
      <c r="A97" s="8" t="inlineStr">
        <is>
          <t>FITNESS</t>
        </is>
      </c>
      <c r="B97" s="8" t="inlineStr">
        <is>
          <t>Tirzepatide</t>
        </is>
      </c>
      <c r="C97" s="9" t="inlineStr">
        <is>
          <t>40 mg</t>
        </is>
      </c>
      <c r="D97" s="10">
        <f>ROUND(AVERAGE(BANDAS!$E$50,BANDAS!$F$50)*40*BANDAS!$E$5*BANDAS!$E$6/50,0)*50</f>
        <v/>
      </c>
      <c r="E97" s="11">
        <f>D97/BANDAS!$E$5</f>
        <v/>
      </c>
      <c r="F97" s="12">
        <f>INDEX(BANDAS!$H$9:$H$64,MATCH($B97,BANDAS!$B$9:$B$64,0))</f>
        <v/>
      </c>
      <c r="G97" s="14">
        <f>INDEX(BANDAS!$G$9:$G$64,MATCH($B97,BANDAS!$B$9:$B$64,0))</f>
        <v/>
      </c>
    </row>
    <row r="98" ht="26" customHeight="1">
      <c r="A98" s="8" t="inlineStr">
        <is>
          <t>FITNESS</t>
        </is>
      </c>
      <c r="B98" s="8" t="inlineStr">
        <is>
          <t>Tirzepatide</t>
        </is>
      </c>
      <c r="C98" s="9" t="inlineStr">
        <is>
          <t>50 mg</t>
        </is>
      </c>
      <c r="D98" s="10">
        <f>ROUND(AVERAGE(BANDAS!$E$50,BANDAS!$F$50)*50*BANDAS!$E$5*BANDAS!$E$6/50,0)*50</f>
        <v/>
      </c>
      <c r="E98" s="11">
        <f>D98/BANDAS!$E$5</f>
        <v/>
      </c>
      <c r="F98" s="12">
        <f>INDEX(BANDAS!$H$9:$H$64,MATCH($B98,BANDAS!$B$9:$B$64,0))</f>
        <v/>
      </c>
      <c r="G98" s="14">
        <f>INDEX(BANDAS!$G$9:$G$64,MATCH($B98,BANDAS!$B$9:$B$64,0))</f>
        <v/>
      </c>
    </row>
    <row r="99" ht="26" customHeight="1">
      <c r="A99" s="8" t="inlineStr">
        <is>
          <t>FITNESS</t>
        </is>
      </c>
      <c r="B99" s="8" t="inlineStr">
        <is>
          <t>Tirzepatide</t>
        </is>
      </c>
      <c r="C99" s="9" t="inlineStr">
        <is>
          <t>60 mg</t>
        </is>
      </c>
      <c r="D99" s="10">
        <f>ROUND(AVERAGE(BANDAS!$E$50,BANDAS!$F$50)*60*BANDAS!$E$5*BANDAS!$E$6/50,0)*50</f>
        <v/>
      </c>
      <c r="E99" s="11">
        <f>D99/BANDAS!$E$5</f>
        <v/>
      </c>
      <c r="F99" s="12">
        <f>INDEX(BANDAS!$H$9:$H$64,MATCH($B99,BANDAS!$B$9:$B$64,0))</f>
        <v/>
      </c>
      <c r="G99" s="14">
        <f>INDEX(BANDAS!$G$9:$G$64,MATCH($B99,BANDAS!$B$9:$B$64,0))</f>
        <v/>
      </c>
    </row>
    <row r="100" ht="26" customHeight="1">
      <c r="A100" s="8" t="inlineStr">
        <is>
          <t>LONGEVITY</t>
        </is>
      </c>
      <c r="B100" s="8" t="inlineStr">
        <is>
          <t>Cartalax</t>
        </is>
      </c>
      <c r="C100" s="9" t="inlineStr">
        <is>
          <t>20 mg</t>
        </is>
      </c>
      <c r="D100" s="10">
        <f>ROUND(AVERAGE(BANDAS!$E$51,BANDAS!$F$51)*20*BANDAS!$E$5*BANDAS!$E$6/50,0)*50</f>
        <v/>
      </c>
      <c r="E100" s="11">
        <f>D100/BANDAS!$E$5</f>
        <v/>
      </c>
      <c r="F100" s="12">
        <f>INDEX(BANDAS!$H$9:$H$64,MATCH($B100,BANDAS!$B$9:$B$64,0))</f>
        <v/>
      </c>
      <c r="G100" s="13">
        <f>INDEX(BANDAS!$G$9:$G$64,MATCH($B100,BANDAS!$B$9:$B$64,0))</f>
        <v/>
      </c>
    </row>
    <row r="101" ht="26" customHeight="1">
      <c r="A101" s="8" t="inlineStr">
        <is>
          <t>LONGEVITY</t>
        </is>
      </c>
      <c r="B101" s="8" t="inlineStr">
        <is>
          <t>DSIP</t>
        </is>
      </c>
      <c r="C101" s="9" t="inlineStr">
        <is>
          <t>5 mg</t>
        </is>
      </c>
      <c r="D101" s="10">
        <f>ROUND(AVERAGE(BANDAS!$E$52,BANDAS!$F$52)*5*BANDAS!$E$5*BANDAS!$E$6/50,0)*50</f>
        <v/>
      </c>
      <c r="E101" s="11">
        <f>D101/BANDAS!$E$5</f>
        <v/>
      </c>
      <c r="F101" s="12">
        <f>INDEX(BANDAS!$H$9:$H$64,MATCH($B101,BANDAS!$B$9:$B$64,0))</f>
        <v/>
      </c>
      <c r="G101" s="13">
        <f>INDEX(BANDAS!$G$9:$G$64,MATCH($B101,BANDAS!$B$9:$B$64,0))</f>
        <v/>
      </c>
    </row>
    <row r="102" ht="26" customHeight="1">
      <c r="A102" s="8" t="inlineStr">
        <is>
          <t>LONGEVITY</t>
        </is>
      </c>
      <c r="B102" s="8" t="inlineStr">
        <is>
          <t>DSIP</t>
        </is>
      </c>
      <c r="C102" s="9" t="inlineStr">
        <is>
          <t>10 mg</t>
        </is>
      </c>
      <c r="D102" s="10">
        <f>ROUND(AVERAGE(BANDAS!$E$52,BANDAS!$F$52)*10*BANDAS!$E$5*BANDAS!$E$6/50,0)*50</f>
        <v/>
      </c>
      <c r="E102" s="11">
        <f>D102/BANDAS!$E$5</f>
        <v/>
      </c>
      <c r="F102" s="12">
        <f>INDEX(BANDAS!$H$9:$H$64,MATCH($B102,BANDAS!$B$9:$B$64,0))</f>
        <v/>
      </c>
      <c r="G102" s="13">
        <f>INDEX(BANDAS!$G$9:$G$64,MATCH($B102,BANDAS!$B$9:$B$64,0))</f>
        <v/>
      </c>
    </row>
    <row r="103" ht="26" customHeight="1">
      <c r="A103" s="8" t="inlineStr">
        <is>
          <t>LONGEVITY</t>
        </is>
      </c>
      <c r="B103" s="8" t="inlineStr">
        <is>
          <t>DSIP</t>
        </is>
      </c>
      <c r="C103" s="9" t="inlineStr">
        <is>
          <t>12 mg</t>
        </is>
      </c>
      <c r="D103" s="10">
        <f>ROUND(AVERAGE(BANDAS!$E$52,BANDAS!$F$52)*12*BANDAS!$E$5*BANDAS!$E$6/50,0)*50</f>
        <v/>
      </c>
      <c r="E103" s="11">
        <f>D103/BANDAS!$E$5</f>
        <v/>
      </c>
      <c r="F103" s="12">
        <f>INDEX(BANDAS!$H$9:$H$64,MATCH($B103,BANDAS!$B$9:$B$64,0))</f>
        <v/>
      </c>
      <c r="G103" s="13">
        <f>INDEX(BANDAS!$G$9:$G$64,MATCH($B103,BANDAS!$B$9:$B$64,0))</f>
        <v/>
      </c>
    </row>
    <row r="104" ht="26" customHeight="1">
      <c r="A104" s="8" t="inlineStr">
        <is>
          <t>LONGEVITY</t>
        </is>
      </c>
      <c r="B104" s="8" t="inlineStr">
        <is>
          <t>Dihexa</t>
        </is>
      </c>
      <c r="C104" s="9" t="inlineStr">
        <is>
          <t>5 mg</t>
        </is>
      </c>
      <c r="D104" s="10">
        <f>ROUND(AVERAGE(BANDAS!$E$53,BANDAS!$F$53)*5*BANDAS!$E$5*BANDAS!$E$6/50,0)*50</f>
        <v/>
      </c>
      <c r="E104" s="11">
        <f>D104/BANDAS!$E$5</f>
        <v/>
      </c>
      <c r="F104" s="12">
        <f>INDEX(BANDAS!$H$9:$H$64,MATCH($B104,BANDAS!$B$9:$B$64,0))</f>
        <v/>
      </c>
      <c r="G104" s="13">
        <f>INDEX(BANDAS!$G$9:$G$64,MATCH($B104,BANDAS!$B$9:$B$64,0))</f>
        <v/>
      </c>
    </row>
    <row r="105" ht="26" customHeight="1">
      <c r="A105" s="8" t="inlineStr">
        <is>
          <t>LONGEVITY</t>
        </is>
      </c>
      <c r="B105" s="8" t="inlineStr">
        <is>
          <t>Dihexa</t>
        </is>
      </c>
      <c r="C105" s="9" t="inlineStr">
        <is>
          <t>10 mg</t>
        </is>
      </c>
      <c r="D105" s="10">
        <f>ROUND(AVERAGE(BANDAS!$E$53,BANDAS!$F$53)*10*BANDAS!$E$5*BANDAS!$E$6/50,0)*50</f>
        <v/>
      </c>
      <c r="E105" s="11">
        <f>D105/BANDAS!$E$5</f>
        <v/>
      </c>
      <c r="F105" s="12">
        <f>INDEX(BANDAS!$H$9:$H$64,MATCH($B105,BANDAS!$B$9:$B$64,0))</f>
        <v/>
      </c>
      <c r="G105" s="13">
        <f>INDEX(BANDAS!$G$9:$G$64,MATCH($B105,BANDAS!$B$9:$B$64,0))</f>
        <v/>
      </c>
    </row>
    <row r="106" ht="26" customHeight="1">
      <c r="A106" s="8" t="inlineStr">
        <is>
          <t>LONGEVITY</t>
        </is>
      </c>
      <c r="B106" s="8" t="inlineStr">
        <is>
          <t>Epithalon</t>
        </is>
      </c>
      <c r="C106" s="9" t="inlineStr">
        <is>
          <t>10 mg</t>
        </is>
      </c>
      <c r="D106" s="10">
        <f>ROUND(AVERAGE(BANDAS!$E$54,BANDAS!$F$54)*10*BANDAS!$E$5*BANDAS!$E$6/50,0)*50</f>
        <v/>
      </c>
      <c r="E106" s="11">
        <f>D106/BANDAS!$E$5</f>
        <v/>
      </c>
      <c r="F106" s="12">
        <f>INDEX(BANDAS!$H$9:$H$64,MATCH($B106,BANDAS!$B$9:$B$64,0))</f>
        <v/>
      </c>
      <c r="G106" s="14">
        <f>INDEX(BANDAS!$G$9:$G$64,MATCH($B106,BANDAS!$B$9:$B$64,0))</f>
        <v/>
      </c>
    </row>
    <row r="107" ht="26" customHeight="1">
      <c r="A107" s="8" t="inlineStr">
        <is>
          <t>LONGEVITY</t>
        </is>
      </c>
      <c r="B107" s="8" t="inlineStr">
        <is>
          <t>Epithalon</t>
        </is>
      </c>
      <c r="C107" s="9" t="inlineStr">
        <is>
          <t>50 mg</t>
        </is>
      </c>
      <c r="D107" s="10">
        <f>ROUND(AVERAGE(BANDAS!$E$54,BANDAS!$F$54)*50*BANDAS!$E$5*BANDAS!$E$6/50,0)*50</f>
        <v/>
      </c>
      <c r="E107" s="11">
        <f>D107/BANDAS!$E$5</f>
        <v/>
      </c>
      <c r="F107" s="12">
        <f>INDEX(BANDAS!$H$9:$H$64,MATCH($B107,BANDAS!$B$9:$B$64,0))</f>
        <v/>
      </c>
      <c r="G107" s="14">
        <f>INDEX(BANDAS!$G$9:$G$64,MATCH($B107,BANDAS!$B$9:$B$64,0))</f>
        <v/>
      </c>
    </row>
    <row r="108" ht="26" customHeight="1">
      <c r="A108" s="8" t="inlineStr">
        <is>
          <t>LONGEVITY</t>
        </is>
      </c>
      <c r="B108" s="8" t="inlineStr">
        <is>
          <t>FOXO4-DRI</t>
        </is>
      </c>
      <c r="C108" s="9" t="inlineStr">
        <is>
          <t>2 mg</t>
        </is>
      </c>
      <c r="D108" s="10">
        <f>ROUND(AVERAGE(BANDAS!$E$55,BANDAS!$F$55)*2*BANDAS!$E$5*BANDAS!$E$6/50,0)*50</f>
        <v/>
      </c>
      <c r="E108" s="11">
        <f>D108/BANDAS!$E$5</f>
        <v/>
      </c>
      <c r="F108" s="12">
        <f>INDEX(BANDAS!$H$9:$H$64,MATCH($B108,BANDAS!$B$9:$B$64,0))</f>
        <v/>
      </c>
      <c r="G108" s="13">
        <f>INDEX(BANDAS!$G$9:$G$64,MATCH($B108,BANDAS!$B$9:$B$64,0))</f>
        <v/>
      </c>
    </row>
    <row r="109" ht="26" customHeight="1">
      <c r="A109" s="8" t="inlineStr">
        <is>
          <t>LONGEVITY</t>
        </is>
      </c>
      <c r="B109" s="8" t="inlineStr">
        <is>
          <t>KissPeptin-10</t>
        </is>
      </c>
      <c r="C109" s="9" t="inlineStr">
        <is>
          <t>5 mg</t>
        </is>
      </c>
      <c r="D109" s="10">
        <f>ROUND(AVERAGE(BANDAS!$E$56,BANDAS!$F$56)*5*BANDAS!$E$5*BANDAS!$E$6/50,0)*50</f>
        <v/>
      </c>
      <c r="E109" s="11">
        <f>D109/BANDAS!$E$5</f>
        <v/>
      </c>
      <c r="F109" s="12">
        <f>INDEX(BANDAS!$H$9:$H$64,MATCH($B109,BANDAS!$B$9:$B$64,0))</f>
        <v/>
      </c>
      <c r="G109" s="13">
        <f>INDEX(BANDAS!$G$9:$G$64,MATCH($B109,BANDAS!$B$9:$B$64,0))</f>
        <v/>
      </c>
    </row>
    <row r="110" ht="26" customHeight="1">
      <c r="A110" s="8" t="inlineStr">
        <is>
          <t>LONGEVITY</t>
        </is>
      </c>
      <c r="B110" s="8" t="inlineStr">
        <is>
          <t>KissPeptin-10</t>
        </is>
      </c>
      <c r="C110" s="9" t="inlineStr">
        <is>
          <t>10 mg</t>
        </is>
      </c>
      <c r="D110" s="10">
        <f>ROUND(AVERAGE(BANDAS!$E$56,BANDAS!$F$56)*10*BANDAS!$E$5*BANDAS!$E$6/50,0)*50</f>
        <v/>
      </c>
      <c r="E110" s="11">
        <f>D110/BANDAS!$E$5</f>
        <v/>
      </c>
      <c r="F110" s="12">
        <f>INDEX(BANDAS!$H$9:$H$64,MATCH($B110,BANDAS!$B$9:$B$64,0))</f>
        <v/>
      </c>
      <c r="G110" s="13">
        <f>INDEX(BANDAS!$G$9:$G$64,MATCH($B110,BANDAS!$B$9:$B$64,0))</f>
        <v/>
      </c>
    </row>
    <row r="111" ht="26" customHeight="1">
      <c r="A111" s="8" t="inlineStr">
        <is>
          <t>LONGEVITY</t>
        </is>
      </c>
      <c r="B111" s="8" t="inlineStr">
        <is>
          <t>Melatonin</t>
        </is>
      </c>
      <c r="C111" s="9" t="inlineStr">
        <is>
          <t>10 mg</t>
        </is>
      </c>
      <c r="D111" s="10">
        <f>ROUND(AVERAGE(BANDAS!$E$57,BANDAS!$F$57)*10*BANDAS!$E$5*BANDAS!$E$6/50,0)*50</f>
        <v/>
      </c>
      <c r="E111" s="11">
        <f>D111/BANDAS!$E$5</f>
        <v/>
      </c>
      <c r="F111" s="12">
        <f>INDEX(BANDAS!$H$9:$H$64,MATCH($B111,BANDAS!$B$9:$B$64,0))</f>
        <v/>
      </c>
      <c r="G111" s="13">
        <f>INDEX(BANDAS!$G$9:$G$64,MATCH($B111,BANDAS!$B$9:$B$64,0))</f>
        <v/>
      </c>
    </row>
    <row r="112" ht="26" customHeight="1">
      <c r="A112" s="8" t="inlineStr">
        <is>
          <t>LONGEVITY</t>
        </is>
      </c>
      <c r="B112" s="8" t="inlineStr">
        <is>
          <t>NAD+</t>
        </is>
      </c>
      <c r="C112" s="9" t="inlineStr">
        <is>
          <t>100 mg</t>
        </is>
      </c>
      <c r="D112" s="10">
        <f>ROUND(AVERAGE(BANDAS!$E$58,BANDAS!$F$58)*100*BANDAS!$E$5*BANDAS!$E$6/50,0)*50</f>
        <v/>
      </c>
      <c r="E112" s="11">
        <f>D112/BANDAS!$E$5</f>
        <v/>
      </c>
      <c r="F112" s="12">
        <f>INDEX(BANDAS!$H$9:$H$64,MATCH($B112,BANDAS!$B$9:$B$64,0))</f>
        <v/>
      </c>
      <c r="G112" s="14">
        <f>INDEX(BANDAS!$G$9:$G$64,MATCH($B112,BANDAS!$B$9:$B$64,0))</f>
        <v/>
      </c>
    </row>
    <row r="113" ht="26" customHeight="1">
      <c r="A113" s="8" t="inlineStr">
        <is>
          <t>LONGEVITY</t>
        </is>
      </c>
      <c r="B113" s="8" t="inlineStr">
        <is>
          <t>NAD+</t>
        </is>
      </c>
      <c r="C113" s="9" t="inlineStr">
        <is>
          <t>500 mg</t>
        </is>
      </c>
      <c r="D113" s="10">
        <f>ROUND(AVERAGE(BANDAS!$E$58,BANDAS!$F$58)*500*BANDAS!$E$5*BANDAS!$E$6/50,0)*50</f>
        <v/>
      </c>
      <c r="E113" s="11">
        <f>D113/BANDAS!$E$5</f>
        <v/>
      </c>
      <c r="F113" s="12">
        <f>INDEX(BANDAS!$H$9:$H$64,MATCH($B113,BANDAS!$B$9:$B$64,0))</f>
        <v/>
      </c>
      <c r="G113" s="14">
        <f>INDEX(BANDAS!$G$9:$G$64,MATCH($B113,BANDAS!$B$9:$B$64,0))</f>
        <v/>
      </c>
    </row>
    <row r="114" ht="26" customHeight="1">
      <c r="A114" s="8" t="inlineStr">
        <is>
          <t>LONGEVITY</t>
        </is>
      </c>
      <c r="B114" s="8" t="inlineStr">
        <is>
          <t>NAD+</t>
        </is>
      </c>
      <c r="C114" s="9" t="inlineStr">
        <is>
          <t>1000 mg</t>
        </is>
      </c>
      <c r="D114" s="10">
        <f>ROUND(AVERAGE(BANDAS!$E$58,BANDAS!$F$58)*1000*BANDAS!$E$5*BANDAS!$E$6/50,0)*50</f>
        <v/>
      </c>
      <c r="E114" s="11">
        <f>D114/BANDAS!$E$5</f>
        <v/>
      </c>
      <c r="F114" s="12">
        <f>INDEX(BANDAS!$H$9:$H$64,MATCH($B114,BANDAS!$B$9:$B$64,0))</f>
        <v/>
      </c>
      <c r="G114" s="14">
        <f>INDEX(BANDAS!$G$9:$G$64,MATCH($B114,BANDAS!$B$9:$B$64,0))</f>
        <v/>
      </c>
    </row>
    <row r="115" ht="26" customHeight="1">
      <c r="A115" s="8" t="inlineStr">
        <is>
          <t>LONGEVITY</t>
        </is>
      </c>
      <c r="B115" s="8" t="inlineStr">
        <is>
          <t>Pinealon</t>
        </is>
      </c>
      <c r="C115" s="9" t="inlineStr">
        <is>
          <t>10 mg</t>
        </is>
      </c>
      <c r="D115" s="10">
        <f>ROUND(AVERAGE(BANDAS!$E$59,BANDAS!$F$59)*10*BANDAS!$E$5*BANDAS!$E$6/50,0)*50</f>
        <v/>
      </c>
      <c r="E115" s="11">
        <f>D115/BANDAS!$E$5</f>
        <v/>
      </c>
      <c r="F115" s="12">
        <f>INDEX(BANDAS!$H$9:$H$64,MATCH($B115,BANDAS!$B$9:$B$64,0))</f>
        <v/>
      </c>
      <c r="G115" s="13">
        <f>INDEX(BANDAS!$G$9:$G$64,MATCH($B115,BANDAS!$B$9:$B$64,0))</f>
        <v/>
      </c>
    </row>
    <row r="116" ht="26" customHeight="1">
      <c r="A116" s="8" t="inlineStr">
        <is>
          <t>LONGEVITY</t>
        </is>
      </c>
      <c r="B116" s="8" t="inlineStr">
        <is>
          <t>Selank</t>
        </is>
      </c>
      <c r="C116" s="9" t="inlineStr">
        <is>
          <t>5 mg</t>
        </is>
      </c>
      <c r="D116" s="10">
        <f>ROUND(AVERAGE(BANDAS!$E$60,BANDAS!$F$60)*5*BANDAS!$E$5*BANDAS!$E$6/50,0)*50</f>
        <v/>
      </c>
      <c r="E116" s="11">
        <f>D116/BANDAS!$E$5</f>
        <v/>
      </c>
      <c r="F116" s="12">
        <f>INDEX(BANDAS!$H$9:$H$64,MATCH($B116,BANDAS!$B$9:$B$64,0))</f>
        <v/>
      </c>
      <c r="G116" s="13">
        <f>INDEX(BANDAS!$G$9:$G$64,MATCH($B116,BANDAS!$B$9:$B$64,0))</f>
        <v/>
      </c>
    </row>
    <row r="117" ht="26" customHeight="1">
      <c r="A117" s="8" t="inlineStr">
        <is>
          <t>LONGEVITY</t>
        </is>
      </c>
      <c r="B117" s="8" t="inlineStr">
        <is>
          <t>Selank</t>
        </is>
      </c>
      <c r="C117" s="9" t="inlineStr">
        <is>
          <t>10 mg</t>
        </is>
      </c>
      <c r="D117" s="10">
        <f>ROUND(AVERAGE(BANDAS!$E$60,BANDAS!$F$60)*10*BANDAS!$E$5*BANDAS!$E$6/50,0)*50</f>
        <v/>
      </c>
      <c r="E117" s="11">
        <f>D117/BANDAS!$E$5</f>
        <v/>
      </c>
      <c r="F117" s="12">
        <f>INDEX(BANDAS!$H$9:$H$64,MATCH($B117,BANDAS!$B$9:$B$64,0))</f>
        <v/>
      </c>
      <c r="G117" s="13">
        <f>INDEX(BANDAS!$G$9:$G$64,MATCH($B117,BANDAS!$B$9:$B$64,0))</f>
        <v/>
      </c>
    </row>
    <row r="118" ht="26" customHeight="1">
      <c r="A118" s="8" t="inlineStr">
        <is>
          <t>LONGEVITY</t>
        </is>
      </c>
      <c r="B118" s="8" t="inlineStr">
        <is>
          <t>Semax</t>
        </is>
      </c>
      <c r="C118" s="9" t="inlineStr">
        <is>
          <t>5 mg</t>
        </is>
      </c>
      <c r="D118" s="10">
        <f>ROUND(AVERAGE(BANDAS!$E$61,BANDAS!$F$61)*5*BANDAS!$E$5*BANDAS!$E$6/50,0)*50</f>
        <v/>
      </c>
      <c r="E118" s="11">
        <f>D118/BANDAS!$E$5</f>
        <v/>
      </c>
      <c r="F118" s="12">
        <f>INDEX(BANDAS!$H$9:$H$64,MATCH($B118,BANDAS!$B$9:$B$64,0))</f>
        <v/>
      </c>
      <c r="G118" s="13">
        <f>INDEX(BANDAS!$G$9:$G$64,MATCH($B118,BANDAS!$B$9:$B$64,0))</f>
        <v/>
      </c>
    </row>
    <row r="119" ht="26" customHeight="1">
      <c r="A119" s="8" t="inlineStr">
        <is>
          <t>LONGEVITY</t>
        </is>
      </c>
      <c r="B119" s="8" t="inlineStr">
        <is>
          <t>Semax</t>
        </is>
      </c>
      <c r="C119" s="9" t="inlineStr">
        <is>
          <t>10 mg</t>
        </is>
      </c>
      <c r="D119" s="10">
        <f>ROUND(AVERAGE(BANDAS!$E$61,BANDAS!$F$61)*10*BANDAS!$E$5*BANDAS!$E$6/50,0)*50</f>
        <v/>
      </c>
      <c r="E119" s="11">
        <f>D119/BANDAS!$E$5</f>
        <v/>
      </c>
      <c r="F119" s="12">
        <f>INDEX(BANDAS!$H$9:$H$64,MATCH($B119,BANDAS!$B$9:$B$64,0))</f>
        <v/>
      </c>
      <c r="G119" s="13">
        <f>INDEX(BANDAS!$G$9:$G$64,MATCH($B119,BANDAS!$B$9:$B$64,0))</f>
        <v/>
      </c>
    </row>
    <row r="120" ht="26" customHeight="1">
      <c r="A120" s="8" t="inlineStr">
        <is>
          <t>LONGEVITY</t>
        </is>
      </c>
      <c r="B120" s="8" t="inlineStr">
        <is>
          <t>Thymalin</t>
        </is>
      </c>
      <c r="C120" s="9" t="inlineStr">
        <is>
          <t>10 mg</t>
        </is>
      </c>
      <c r="D120" s="10">
        <f>ROUND(AVERAGE(BANDAS!$E$62,BANDAS!$F$62)*10*BANDAS!$E$5*BANDAS!$E$6/50,0)*50</f>
        <v/>
      </c>
      <c r="E120" s="11">
        <f>D120/BANDAS!$E$5</f>
        <v/>
      </c>
      <c r="F120" s="12">
        <f>INDEX(BANDAS!$H$9:$H$64,MATCH($B120,BANDAS!$B$9:$B$64,0))</f>
        <v/>
      </c>
      <c r="G120" s="13">
        <f>INDEX(BANDAS!$G$9:$G$64,MATCH($B120,BANDAS!$B$9:$B$64,0))</f>
        <v/>
      </c>
    </row>
    <row r="121" ht="26" customHeight="1">
      <c r="A121" s="8" t="inlineStr">
        <is>
          <t>LONGEVITY</t>
        </is>
      </c>
      <c r="B121" s="8" t="inlineStr">
        <is>
          <t>Thymosin Alpha-1</t>
        </is>
      </c>
      <c r="C121" s="9" t="inlineStr">
        <is>
          <t>5 mg</t>
        </is>
      </c>
      <c r="D121" s="10">
        <f>ROUND(AVERAGE(BANDAS!$E$63,BANDAS!$F$63)*5*BANDAS!$E$5*BANDAS!$E$6/50,0)*50</f>
        <v/>
      </c>
      <c r="E121" s="11">
        <f>D121/BANDAS!$E$5</f>
        <v/>
      </c>
      <c r="F121" s="12">
        <f>INDEX(BANDAS!$H$9:$H$64,MATCH($B121,BANDAS!$B$9:$B$64,0))</f>
        <v/>
      </c>
      <c r="G121" s="13">
        <f>INDEX(BANDAS!$G$9:$G$64,MATCH($B121,BANDAS!$B$9:$B$64,0))</f>
        <v/>
      </c>
    </row>
    <row r="122" ht="26" customHeight="1">
      <c r="A122" s="8" t="inlineStr">
        <is>
          <t>LONGEVITY</t>
        </is>
      </c>
      <c r="B122" s="8" t="inlineStr">
        <is>
          <t>Thymosin Alpha-1</t>
        </is>
      </c>
      <c r="C122" s="9" t="inlineStr">
        <is>
          <t>10 mg</t>
        </is>
      </c>
      <c r="D122" s="10">
        <f>ROUND(AVERAGE(BANDAS!$E$63,BANDAS!$F$63)*10*BANDAS!$E$5*BANDAS!$E$6/50,0)*50</f>
        <v/>
      </c>
      <c r="E122" s="11">
        <f>D122/BANDAS!$E$5</f>
        <v/>
      </c>
      <c r="F122" s="12">
        <f>INDEX(BANDAS!$H$9:$H$64,MATCH($B122,BANDAS!$B$9:$B$64,0))</f>
        <v/>
      </c>
      <c r="G122" s="13">
        <f>INDEX(BANDAS!$G$9:$G$64,MATCH($B122,BANDAS!$B$9:$B$64,0))</f>
        <v/>
      </c>
    </row>
    <row r="123" ht="26" customHeight="1">
      <c r="A123" s="8" t="inlineStr">
        <is>
          <t>LONGEVITY</t>
        </is>
      </c>
      <c r="B123" s="8" t="inlineStr">
        <is>
          <t>Vitamin B12</t>
        </is>
      </c>
      <c r="C123" s="9" t="inlineStr">
        <is>
          <t>1 mg</t>
        </is>
      </c>
      <c r="D123" s="10">
        <f>ROUND(AVERAGE(BANDAS!$E$64,BANDAS!$F$64)*1*BANDAS!$E$5*BANDAS!$E$6/50,0)*50</f>
        <v/>
      </c>
      <c r="E123" s="11">
        <f>D123/BANDAS!$E$5</f>
        <v/>
      </c>
      <c r="F123" s="12">
        <f>INDEX(BANDAS!$H$9:$H$64,MATCH($B123,BANDAS!$B$9:$B$64,0))</f>
        <v/>
      </c>
      <c r="G123" s="13">
        <f>INDEX(BANDAS!$G$9:$G$64,MATCH($B123,BANDAS!$B$9:$B$64,0))</f>
        <v/>
      </c>
    </row>
  </sheetData>
  <autoFilter ref="A5:G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G1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23" customWidth="1" min="4" max="4"/>
    <col width="17" customWidth="1" min="5" max="5"/>
    <col width="86" customWidth="1" min="6" max="6"/>
    <col width="7" customWidth="1" min="7" max="7"/>
  </cols>
  <sheetData>
    <row r="2">
      <c r="B2" s="5" t="inlineStr">
        <is>
          <t>PEPTIDEX · PRECIO AL CONSUMIDOR — USA</t>
        </is>
      </c>
    </row>
    <row r="3">
      <c r="B3" s="6" t="inlineStr">
        <is>
          <t>Las 118 presentaciones del catálogo, al precio que el mercado de USA paga hoy.  En pesos y en dólares.  03.08.2026</t>
        </is>
      </c>
    </row>
    <row r="5" ht="30" customHeight="1">
      <c r="A5" s="7" t="inlineStr">
        <is>
          <t>LÍNEA</t>
        </is>
      </c>
      <c r="B5" s="7" t="inlineStr">
        <is>
          <t>COMPUESTO</t>
        </is>
      </c>
      <c r="C5" s="7" t="inlineStr">
        <is>
          <t>PRESENTACIÓN</t>
        </is>
      </c>
      <c r="D5" s="7" t="inlineStr">
        <is>
          <t>PRECIO AL CONSUMIDOR (USD)</t>
        </is>
      </c>
      <c r="E5" s="7" t="inlineStr">
        <is>
          <t>EQUIVALE A (MXN)</t>
        </is>
      </c>
      <c r="F5" s="7" t="inlineStr">
        <is>
          <t>EN QUÉ SE BASA ESTE PRECIO</t>
        </is>
      </c>
      <c r="G5" s="7" t="inlineStr">
        <is>
          <t>CONF.</t>
        </is>
      </c>
    </row>
    <row r="6" ht="26" customHeight="1">
      <c r="A6" s="8" t="inlineStr">
        <is>
          <t>BEAUTY</t>
        </is>
      </c>
      <c r="B6" s="8" t="inlineStr">
        <is>
          <t>AHK-Cu</t>
        </is>
      </c>
      <c r="C6" s="9" t="inlineStr">
        <is>
          <t>20 mg</t>
        </is>
      </c>
      <c r="D6" s="15">
        <f>ROUND(AVERAGE(BANDAS!$E$9,BANDAS!$F$9)*20/1,0)*1</f>
        <v/>
      </c>
      <c r="E6" s="16">
        <f>D6*BANDAS!$E$5</f>
        <v/>
      </c>
      <c r="F6" s="12">
        <f>INDEX(BANDAS!$H$9:$H$64,MATCH($B6,BANDAS!$B$9:$B$64,0))</f>
        <v/>
      </c>
      <c r="G6" s="13">
        <f>INDEX(BANDAS!$G$9:$G$64,MATCH($B6,BANDAS!$B$9:$B$64,0))</f>
        <v/>
      </c>
    </row>
    <row r="7" ht="26" customHeight="1">
      <c r="A7" s="8" t="inlineStr">
        <is>
          <t>BEAUTY</t>
        </is>
      </c>
      <c r="B7" s="8" t="inlineStr">
        <is>
          <t>AHK-Cu</t>
        </is>
      </c>
      <c r="C7" s="9" t="inlineStr">
        <is>
          <t>50 mg</t>
        </is>
      </c>
      <c r="D7" s="15">
        <f>ROUND(AVERAGE(BANDAS!$E$9,BANDAS!$F$9)*50/1,0)*1</f>
        <v/>
      </c>
      <c r="E7" s="16">
        <f>D7*BANDAS!$E$5</f>
        <v/>
      </c>
      <c r="F7" s="12">
        <f>INDEX(BANDAS!$H$9:$H$64,MATCH($B7,BANDAS!$B$9:$B$64,0))</f>
        <v/>
      </c>
      <c r="G7" s="13">
        <f>INDEX(BANDAS!$G$9:$G$64,MATCH($B7,BANDAS!$B$9:$B$64,0))</f>
        <v/>
      </c>
    </row>
    <row r="8" ht="26" customHeight="1">
      <c r="A8" s="8" t="inlineStr">
        <is>
          <t>BEAUTY</t>
        </is>
      </c>
      <c r="B8" s="8" t="inlineStr">
        <is>
          <t>GHK-Cu</t>
        </is>
      </c>
      <c r="C8" s="9" t="inlineStr">
        <is>
          <t>50 mg</t>
        </is>
      </c>
      <c r="D8" s="15">
        <f>ROUND(AVERAGE(BANDAS!$E$10,BANDAS!$F$10)*50/1,0)*1</f>
        <v/>
      </c>
      <c r="E8" s="16">
        <f>D8*BANDAS!$E$5</f>
        <v/>
      </c>
      <c r="F8" s="12">
        <f>INDEX(BANDAS!$H$9:$H$64,MATCH($B8,BANDAS!$B$9:$B$64,0))</f>
        <v/>
      </c>
      <c r="G8" s="14">
        <f>INDEX(BANDAS!$G$9:$G$64,MATCH($B8,BANDAS!$B$9:$B$64,0))</f>
        <v/>
      </c>
    </row>
    <row r="9" ht="26" customHeight="1">
      <c r="A9" s="8" t="inlineStr">
        <is>
          <t>BEAUTY</t>
        </is>
      </c>
      <c r="B9" s="8" t="inlineStr">
        <is>
          <t>GHK-Cu</t>
        </is>
      </c>
      <c r="C9" s="9" t="inlineStr">
        <is>
          <t>100 mg</t>
        </is>
      </c>
      <c r="D9" s="15">
        <f>ROUND(AVERAGE(BANDAS!$E$10,BANDAS!$F$10)*100/1,0)*1</f>
        <v/>
      </c>
      <c r="E9" s="16">
        <f>D9*BANDAS!$E$5</f>
        <v/>
      </c>
      <c r="F9" s="12">
        <f>INDEX(BANDAS!$H$9:$H$64,MATCH($B9,BANDAS!$B$9:$B$64,0))</f>
        <v/>
      </c>
      <c r="G9" s="14">
        <f>INDEX(BANDAS!$G$9:$G$64,MATCH($B9,BANDAS!$B$9:$B$64,0))</f>
        <v/>
      </c>
    </row>
    <row r="10" ht="26" customHeight="1">
      <c r="A10" s="8" t="inlineStr">
        <is>
          <t>BEAUTY</t>
        </is>
      </c>
      <c r="B10" s="8" t="inlineStr">
        <is>
          <t>GLOW Blend</t>
        </is>
      </c>
      <c r="C10" s="9" t="inlineStr">
        <is>
          <t>70 mg</t>
        </is>
      </c>
      <c r="D10" s="15">
        <f>ROUND(AVERAGE(BANDAS!$E$11,BANDAS!$F$11)*70/1,0)*1</f>
        <v/>
      </c>
      <c r="E10" s="16">
        <f>D10*BANDAS!$E$5</f>
        <v/>
      </c>
      <c r="F10" s="12">
        <f>INDEX(BANDAS!$H$9:$H$64,MATCH($B10,BANDAS!$B$9:$B$64,0))</f>
        <v/>
      </c>
      <c r="G10" s="13">
        <f>INDEX(BANDAS!$G$9:$G$64,MATCH($B10,BANDAS!$B$9:$B$64,0))</f>
        <v/>
      </c>
    </row>
    <row r="11" ht="26" customHeight="1">
      <c r="A11" s="8" t="inlineStr">
        <is>
          <t>BEAUTY</t>
        </is>
      </c>
      <c r="B11" s="8" t="inlineStr">
        <is>
          <t>Glutathione</t>
        </is>
      </c>
      <c r="C11" s="9" t="inlineStr">
        <is>
          <t>600 mg</t>
        </is>
      </c>
      <c r="D11" s="15">
        <f>ROUND(AVERAGE(BANDAS!$E$12,BANDAS!$F$12)*600/1,0)*1</f>
        <v/>
      </c>
      <c r="E11" s="16">
        <f>D11*BANDAS!$E$5</f>
        <v/>
      </c>
      <c r="F11" s="12">
        <f>INDEX(BANDAS!$H$9:$H$64,MATCH($B11,BANDAS!$B$9:$B$64,0))</f>
        <v/>
      </c>
      <c r="G11" s="13">
        <f>INDEX(BANDAS!$G$9:$G$64,MATCH($B11,BANDAS!$B$9:$B$64,0))</f>
        <v/>
      </c>
    </row>
    <row r="12" ht="26" customHeight="1">
      <c r="A12" s="8" t="inlineStr">
        <is>
          <t>BEAUTY</t>
        </is>
      </c>
      <c r="B12" s="8" t="inlineStr">
        <is>
          <t>Glutathione</t>
        </is>
      </c>
      <c r="C12" s="9" t="inlineStr">
        <is>
          <t>1500 mg</t>
        </is>
      </c>
      <c r="D12" s="15">
        <f>ROUND(AVERAGE(BANDAS!$E$12,BANDAS!$F$12)*1500/1,0)*1</f>
        <v/>
      </c>
      <c r="E12" s="16">
        <f>D12*BANDAS!$E$5</f>
        <v/>
      </c>
      <c r="F12" s="12">
        <f>INDEX(BANDAS!$H$9:$H$64,MATCH($B12,BANDAS!$B$9:$B$64,0))</f>
        <v/>
      </c>
      <c r="G12" s="13">
        <f>INDEX(BANDAS!$G$9:$G$64,MATCH($B12,BANDAS!$B$9:$B$64,0))</f>
        <v/>
      </c>
    </row>
    <row r="13" ht="26" customHeight="1">
      <c r="A13" s="8" t="inlineStr">
        <is>
          <t>BEAUTY</t>
        </is>
      </c>
      <c r="B13" s="8" t="inlineStr">
        <is>
          <t>KLOW Blend</t>
        </is>
      </c>
      <c r="C13" s="9" t="inlineStr">
        <is>
          <t>80 mg</t>
        </is>
      </c>
      <c r="D13" s="15">
        <f>ROUND(AVERAGE(BANDAS!$E$13,BANDAS!$F$13)*80/1,0)*1</f>
        <v/>
      </c>
      <c r="E13" s="16">
        <f>D13*BANDAS!$E$5</f>
        <v/>
      </c>
      <c r="F13" s="12">
        <f>INDEX(BANDAS!$H$9:$H$64,MATCH($B13,BANDAS!$B$9:$B$64,0))</f>
        <v/>
      </c>
      <c r="G13" s="13">
        <f>INDEX(BANDAS!$G$9:$G$64,MATCH($B13,BANDAS!$B$9:$B$64,0))</f>
        <v/>
      </c>
    </row>
    <row r="14" ht="26" customHeight="1">
      <c r="A14" s="8" t="inlineStr">
        <is>
          <t>BEAUTY</t>
        </is>
      </c>
      <c r="B14" s="8" t="inlineStr">
        <is>
          <t>KPV</t>
        </is>
      </c>
      <c r="C14" s="9" t="inlineStr">
        <is>
          <t>5 mg</t>
        </is>
      </c>
      <c r="D14" s="15">
        <f>ROUND(AVERAGE(BANDAS!$E$14,BANDAS!$F$14)*5/1,0)*1</f>
        <v/>
      </c>
      <c r="E14" s="16">
        <f>D14*BANDAS!$E$5</f>
        <v/>
      </c>
      <c r="F14" s="12">
        <f>INDEX(BANDAS!$H$9:$H$64,MATCH($B14,BANDAS!$B$9:$B$64,0))</f>
        <v/>
      </c>
      <c r="G14" s="13">
        <f>INDEX(BANDAS!$G$9:$G$64,MATCH($B14,BANDAS!$B$9:$B$64,0))</f>
        <v/>
      </c>
    </row>
    <row r="15" ht="26" customHeight="1">
      <c r="A15" s="8" t="inlineStr">
        <is>
          <t>BEAUTY</t>
        </is>
      </c>
      <c r="B15" s="8" t="inlineStr">
        <is>
          <t>KPV</t>
        </is>
      </c>
      <c r="C15" s="9" t="inlineStr">
        <is>
          <t>10 mg</t>
        </is>
      </c>
      <c r="D15" s="15">
        <f>ROUND(AVERAGE(BANDAS!$E$14,BANDAS!$F$14)*10/1,0)*1</f>
        <v/>
      </c>
      <c r="E15" s="16">
        <f>D15*BANDAS!$E$5</f>
        <v/>
      </c>
      <c r="F15" s="12">
        <f>INDEX(BANDAS!$H$9:$H$64,MATCH($B15,BANDAS!$B$9:$B$64,0))</f>
        <v/>
      </c>
      <c r="G15" s="13">
        <f>INDEX(BANDAS!$G$9:$G$64,MATCH($B15,BANDAS!$B$9:$B$64,0))</f>
        <v/>
      </c>
    </row>
    <row r="16" ht="26" customHeight="1">
      <c r="A16" s="8" t="inlineStr">
        <is>
          <t>BEAUTY</t>
        </is>
      </c>
      <c r="B16" s="8" t="inlineStr">
        <is>
          <t>Matrixyl</t>
        </is>
      </c>
      <c r="C16" s="9" t="inlineStr">
        <is>
          <t>10 mg</t>
        </is>
      </c>
      <c r="D16" s="15">
        <f>ROUND(AVERAGE(BANDAS!$E$15,BANDAS!$F$15)*10/1,0)*1</f>
        <v/>
      </c>
      <c r="E16" s="16">
        <f>D16*BANDAS!$E$5</f>
        <v/>
      </c>
      <c r="F16" s="12">
        <f>INDEX(BANDAS!$H$9:$H$64,MATCH($B16,BANDAS!$B$9:$B$64,0))</f>
        <v/>
      </c>
      <c r="G16" s="13">
        <f>INDEX(BANDAS!$G$9:$G$64,MATCH($B16,BANDAS!$B$9:$B$64,0))</f>
        <v/>
      </c>
    </row>
    <row r="17" ht="26" customHeight="1">
      <c r="A17" s="8" t="inlineStr">
        <is>
          <t>BEAUTY</t>
        </is>
      </c>
      <c r="B17" s="8" t="inlineStr">
        <is>
          <t>Melanotan I</t>
        </is>
      </c>
      <c r="C17" s="9" t="inlineStr">
        <is>
          <t>10 mg</t>
        </is>
      </c>
      <c r="D17" s="15">
        <f>ROUND(AVERAGE(BANDAS!$E$16,BANDAS!$F$16)*10/1,0)*1</f>
        <v/>
      </c>
      <c r="E17" s="16">
        <f>D17*BANDAS!$E$5</f>
        <v/>
      </c>
      <c r="F17" s="12">
        <f>INDEX(BANDAS!$H$9:$H$64,MATCH($B17,BANDAS!$B$9:$B$64,0))</f>
        <v/>
      </c>
      <c r="G17" s="13">
        <f>INDEX(BANDAS!$G$9:$G$64,MATCH($B17,BANDAS!$B$9:$B$64,0))</f>
        <v/>
      </c>
    </row>
    <row r="18" ht="26" customHeight="1">
      <c r="A18" s="8" t="inlineStr">
        <is>
          <t>BEAUTY</t>
        </is>
      </c>
      <c r="B18" s="8" t="inlineStr">
        <is>
          <t>Melanotan II</t>
        </is>
      </c>
      <c r="C18" s="9" t="inlineStr">
        <is>
          <t>10 mg</t>
        </is>
      </c>
      <c r="D18" s="15">
        <f>ROUND(AVERAGE(BANDAS!$E$17,BANDAS!$F$17)*10/1,0)*1</f>
        <v/>
      </c>
      <c r="E18" s="16">
        <f>D18*BANDAS!$E$5</f>
        <v/>
      </c>
      <c r="F18" s="12">
        <f>INDEX(BANDAS!$H$9:$H$64,MATCH($B18,BANDAS!$B$9:$B$64,0))</f>
        <v/>
      </c>
      <c r="G18" s="14">
        <f>INDEX(BANDAS!$G$9:$G$64,MATCH($B18,BANDAS!$B$9:$B$64,0))</f>
        <v/>
      </c>
    </row>
    <row r="19" ht="26" customHeight="1">
      <c r="A19" s="8" t="inlineStr">
        <is>
          <t>BEAUTY</t>
        </is>
      </c>
      <c r="B19" s="8" t="inlineStr">
        <is>
          <t>Oxytocin</t>
        </is>
      </c>
      <c r="C19" s="9" t="inlineStr">
        <is>
          <t>5 mg</t>
        </is>
      </c>
      <c r="D19" s="15">
        <f>ROUND(AVERAGE(BANDAS!$E$18,BANDAS!$F$18)*5/1,0)*1</f>
        <v/>
      </c>
      <c r="E19" s="16">
        <f>D19*BANDAS!$E$5</f>
        <v/>
      </c>
      <c r="F19" s="12">
        <f>INDEX(BANDAS!$H$9:$H$64,MATCH($B19,BANDAS!$B$9:$B$64,0))</f>
        <v/>
      </c>
      <c r="G19" s="13">
        <f>INDEX(BANDAS!$G$9:$G$64,MATCH($B19,BANDAS!$B$9:$B$64,0))</f>
        <v/>
      </c>
    </row>
    <row r="20" ht="26" customHeight="1">
      <c r="A20" s="8" t="inlineStr">
        <is>
          <t>BEAUTY</t>
        </is>
      </c>
      <c r="B20" s="8" t="inlineStr">
        <is>
          <t>PT-141</t>
        </is>
      </c>
      <c r="C20" s="9" t="inlineStr">
        <is>
          <t>10 mg</t>
        </is>
      </c>
      <c r="D20" s="15">
        <f>ROUND(AVERAGE(BANDAS!$E$19,BANDAS!$F$19)*10/1,0)*1</f>
        <v/>
      </c>
      <c r="E20" s="16">
        <f>D20*BANDAS!$E$5</f>
        <v/>
      </c>
      <c r="F20" s="12">
        <f>INDEX(BANDAS!$H$9:$H$64,MATCH($B20,BANDAS!$B$9:$B$64,0))</f>
        <v/>
      </c>
      <c r="G20" s="14">
        <f>INDEX(BANDAS!$G$9:$G$64,MATCH($B20,BANDAS!$B$9:$B$64,0))</f>
        <v/>
      </c>
    </row>
    <row r="21" ht="26" customHeight="1">
      <c r="A21" s="8" t="inlineStr">
        <is>
          <t>BEAUTY</t>
        </is>
      </c>
      <c r="B21" s="8" t="inlineStr">
        <is>
          <t>Snap-8</t>
        </is>
      </c>
      <c r="C21" s="9" t="inlineStr">
        <is>
          <t>10 mg</t>
        </is>
      </c>
      <c r="D21" s="15">
        <f>ROUND(AVERAGE(BANDAS!$E$20,BANDAS!$F$20)*10/1,0)*1</f>
        <v/>
      </c>
      <c r="E21" s="16">
        <f>D21*BANDAS!$E$5</f>
        <v/>
      </c>
      <c r="F21" s="12">
        <f>INDEX(BANDAS!$H$9:$H$64,MATCH($B21,BANDAS!$B$9:$B$64,0))</f>
        <v/>
      </c>
      <c r="G21" s="13">
        <f>INDEX(BANDAS!$G$9:$G$64,MATCH($B21,BANDAS!$B$9:$B$64,0))</f>
        <v/>
      </c>
    </row>
    <row r="22" ht="26" customHeight="1">
      <c r="A22" s="8" t="inlineStr">
        <is>
          <t>FITNESS</t>
        </is>
      </c>
      <c r="B22" s="8" t="inlineStr">
        <is>
          <t>5-Amino-1MQ</t>
        </is>
      </c>
      <c r="C22" s="9" t="inlineStr">
        <is>
          <t>5 mg</t>
        </is>
      </c>
      <c r="D22" s="15">
        <f>ROUND(AVERAGE(BANDAS!$E$21,BANDAS!$F$21)*5/1,0)*1</f>
        <v/>
      </c>
      <c r="E22" s="16">
        <f>D22*BANDAS!$E$5</f>
        <v/>
      </c>
      <c r="F22" s="12">
        <f>INDEX(BANDAS!$H$9:$H$64,MATCH($B22,BANDAS!$B$9:$B$64,0))</f>
        <v/>
      </c>
      <c r="G22" s="13">
        <f>INDEX(BANDAS!$G$9:$G$64,MATCH($B22,BANDAS!$B$9:$B$64,0))</f>
        <v/>
      </c>
    </row>
    <row r="23" ht="26" customHeight="1">
      <c r="A23" s="8" t="inlineStr">
        <is>
          <t>FITNESS</t>
        </is>
      </c>
      <c r="B23" s="8" t="inlineStr">
        <is>
          <t>5-Amino-1MQ</t>
        </is>
      </c>
      <c r="C23" s="9" t="inlineStr">
        <is>
          <t>10 mg</t>
        </is>
      </c>
      <c r="D23" s="15">
        <f>ROUND(AVERAGE(BANDAS!$E$21,BANDAS!$F$21)*10/1,0)*1</f>
        <v/>
      </c>
      <c r="E23" s="16">
        <f>D23*BANDAS!$E$5</f>
        <v/>
      </c>
      <c r="F23" s="12">
        <f>INDEX(BANDAS!$H$9:$H$64,MATCH($B23,BANDAS!$B$9:$B$64,0))</f>
        <v/>
      </c>
      <c r="G23" s="13">
        <f>INDEX(BANDAS!$G$9:$G$64,MATCH($B23,BANDAS!$B$9:$B$64,0))</f>
        <v/>
      </c>
    </row>
    <row r="24" ht="26" customHeight="1">
      <c r="A24" s="8" t="inlineStr">
        <is>
          <t>FITNESS</t>
        </is>
      </c>
      <c r="B24" s="8" t="inlineStr">
        <is>
          <t>5-Amino-1MQ</t>
        </is>
      </c>
      <c r="C24" s="9" t="inlineStr">
        <is>
          <t>50 mg</t>
        </is>
      </c>
      <c r="D24" s="15">
        <f>ROUND(AVERAGE(BANDAS!$E$21,BANDAS!$F$21)*50/1,0)*1</f>
        <v/>
      </c>
      <c r="E24" s="16">
        <f>D24*BANDAS!$E$5</f>
        <v/>
      </c>
      <c r="F24" s="12">
        <f>INDEX(BANDAS!$H$9:$H$64,MATCH($B24,BANDAS!$B$9:$B$64,0))</f>
        <v/>
      </c>
      <c r="G24" s="13">
        <f>INDEX(BANDAS!$G$9:$G$64,MATCH($B24,BANDAS!$B$9:$B$64,0))</f>
        <v/>
      </c>
    </row>
    <row r="25" ht="26" customHeight="1">
      <c r="A25" s="8" t="inlineStr">
        <is>
          <t>FITNESS</t>
        </is>
      </c>
      <c r="B25" s="8" t="inlineStr">
        <is>
          <t>AICAR</t>
        </is>
      </c>
      <c r="C25" s="9" t="inlineStr">
        <is>
          <t>50 mg</t>
        </is>
      </c>
      <c r="D25" s="15">
        <f>ROUND(AVERAGE(BANDAS!$E$22,BANDAS!$F$22)*50/1,0)*1</f>
        <v/>
      </c>
      <c r="E25" s="16">
        <f>D25*BANDAS!$E$5</f>
        <v/>
      </c>
      <c r="F25" s="12">
        <f>INDEX(BANDAS!$H$9:$H$64,MATCH($B25,BANDAS!$B$9:$B$64,0))</f>
        <v/>
      </c>
      <c r="G25" s="13">
        <f>INDEX(BANDAS!$G$9:$G$64,MATCH($B25,BANDAS!$B$9:$B$64,0))</f>
        <v/>
      </c>
    </row>
    <row r="26" ht="26" customHeight="1">
      <c r="A26" s="8" t="inlineStr">
        <is>
          <t>FITNESS</t>
        </is>
      </c>
      <c r="B26" s="8" t="inlineStr">
        <is>
          <t>AICAR</t>
        </is>
      </c>
      <c r="C26" s="9" t="inlineStr">
        <is>
          <t>100 mg</t>
        </is>
      </c>
      <c r="D26" s="15">
        <f>ROUND(AVERAGE(BANDAS!$E$22,BANDAS!$F$22)*100/1,0)*1</f>
        <v/>
      </c>
      <c r="E26" s="16">
        <f>D26*BANDAS!$E$5</f>
        <v/>
      </c>
      <c r="F26" s="12">
        <f>INDEX(BANDAS!$H$9:$H$64,MATCH($B26,BANDAS!$B$9:$B$64,0))</f>
        <v/>
      </c>
      <c r="G26" s="13">
        <f>INDEX(BANDAS!$G$9:$G$64,MATCH($B26,BANDAS!$B$9:$B$64,0))</f>
        <v/>
      </c>
    </row>
    <row r="27" ht="26" customHeight="1">
      <c r="A27" s="8" t="inlineStr">
        <is>
          <t>FITNESS</t>
        </is>
      </c>
      <c r="B27" s="8" t="inlineStr">
        <is>
          <t>AOD-9604</t>
        </is>
      </c>
      <c r="C27" s="9" t="inlineStr">
        <is>
          <t>5 mg</t>
        </is>
      </c>
      <c r="D27" s="15">
        <f>ROUND(AVERAGE(BANDAS!$E$23,BANDAS!$F$23)*5/1,0)*1</f>
        <v/>
      </c>
      <c r="E27" s="16">
        <f>D27*BANDAS!$E$5</f>
        <v/>
      </c>
      <c r="F27" s="12">
        <f>INDEX(BANDAS!$H$9:$H$64,MATCH($B27,BANDAS!$B$9:$B$64,0))</f>
        <v/>
      </c>
      <c r="G27" s="13">
        <f>INDEX(BANDAS!$G$9:$G$64,MATCH($B27,BANDAS!$B$9:$B$64,0))</f>
        <v/>
      </c>
    </row>
    <row r="28" ht="26" customHeight="1">
      <c r="A28" s="8" t="inlineStr">
        <is>
          <t>FITNESS</t>
        </is>
      </c>
      <c r="B28" s="8" t="inlineStr">
        <is>
          <t>AOD-9604</t>
        </is>
      </c>
      <c r="C28" s="9" t="inlineStr">
        <is>
          <t>10 mg</t>
        </is>
      </c>
      <c r="D28" s="15">
        <f>ROUND(AVERAGE(BANDAS!$E$23,BANDAS!$F$23)*10/1,0)*1</f>
        <v/>
      </c>
      <c r="E28" s="16">
        <f>D28*BANDAS!$E$5</f>
        <v/>
      </c>
      <c r="F28" s="12">
        <f>INDEX(BANDAS!$H$9:$H$64,MATCH($B28,BANDAS!$B$9:$B$64,0))</f>
        <v/>
      </c>
      <c r="G28" s="13">
        <f>INDEX(BANDAS!$G$9:$G$64,MATCH($B28,BANDAS!$B$9:$B$64,0))</f>
        <v/>
      </c>
    </row>
    <row r="29" ht="26" customHeight="1">
      <c r="A29" s="8" t="inlineStr">
        <is>
          <t>FITNESS</t>
        </is>
      </c>
      <c r="B29" s="8" t="inlineStr">
        <is>
          <t>Adamax</t>
        </is>
      </c>
      <c r="C29" s="9" t="inlineStr">
        <is>
          <t>10 mg</t>
        </is>
      </c>
      <c r="D29" s="15">
        <f>ROUND(AVERAGE(BANDAS!$E$24,BANDAS!$F$24)*10/1,0)*1</f>
        <v/>
      </c>
      <c r="E29" s="16">
        <f>D29*BANDAS!$E$5</f>
        <v/>
      </c>
      <c r="F29" s="12">
        <f>INDEX(BANDAS!$H$9:$H$64,MATCH($B29,BANDAS!$B$9:$B$64,0))</f>
        <v/>
      </c>
      <c r="G29" s="13">
        <f>INDEX(BANDAS!$G$9:$G$64,MATCH($B29,BANDAS!$B$9:$B$64,0))</f>
        <v/>
      </c>
    </row>
    <row r="30" ht="26" customHeight="1">
      <c r="A30" s="8" t="inlineStr">
        <is>
          <t>FITNESS</t>
        </is>
      </c>
      <c r="B30" s="8" t="inlineStr">
        <is>
          <t>Adipotide</t>
        </is>
      </c>
      <c r="C30" s="9" t="inlineStr">
        <is>
          <t>5 mg</t>
        </is>
      </c>
      <c r="D30" s="15">
        <f>ROUND(AVERAGE(BANDAS!$E$25,BANDAS!$F$25)*5/1,0)*1</f>
        <v/>
      </c>
      <c r="E30" s="16">
        <f>D30*BANDAS!$E$5</f>
        <v/>
      </c>
      <c r="F30" s="12">
        <f>INDEX(BANDAS!$H$9:$H$64,MATCH($B30,BANDAS!$B$9:$B$64,0))</f>
        <v/>
      </c>
      <c r="G30" s="13">
        <f>INDEX(BANDAS!$G$9:$G$64,MATCH($B30,BANDAS!$B$9:$B$64,0))</f>
        <v/>
      </c>
    </row>
    <row r="31" ht="26" customHeight="1">
      <c r="A31" s="8" t="inlineStr">
        <is>
          <t>FITNESS</t>
        </is>
      </c>
      <c r="B31" s="8" t="inlineStr">
        <is>
          <t>Adipotide</t>
        </is>
      </c>
      <c r="C31" s="9" t="inlineStr">
        <is>
          <t>10 mg</t>
        </is>
      </c>
      <c r="D31" s="15">
        <f>ROUND(AVERAGE(BANDAS!$E$25,BANDAS!$F$25)*10/1,0)*1</f>
        <v/>
      </c>
      <c r="E31" s="16">
        <f>D31*BANDAS!$E$5</f>
        <v/>
      </c>
      <c r="F31" s="12">
        <f>INDEX(BANDAS!$H$9:$H$64,MATCH($B31,BANDAS!$B$9:$B$64,0))</f>
        <v/>
      </c>
      <c r="G31" s="13">
        <f>INDEX(BANDAS!$G$9:$G$64,MATCH($B31,BANDAS!$B$9:$B$64,0))</f>
        <v/>
      </c>
    </row>
    <row r="32" ht="26" customHeight="1">
      <c r="A32" s="8" t="inlineStr">
        <is>
          <t>FITNESS</t>
        </is>
      </c>
      <c r="B32" s="8" t="inlineStr">
        <is>
          <t>Ara-290</t>
        </is>
      </c>
      <c r="C32" s="9" t="inlineStr">
        <is>
          <t>10 mg</t>
        </is>
      </c>
      <c r="D32" s="15">
        <f>ROUND(AVERAGE(BANDAS!$E$26,BANDAS!$F$26)*10/1,0)*1</f>
        <v/>
      </c>
      <c r="E32" s="16">
        <f>D32*BANDAS!$E$5</f>
        <v/>
      </c>
      <c r="F32" s="12">
        <f>INDEX(BANDAS!$H$9:$H$64,MATCH($B32,BANDAS!$B$9:$B$64,0))</f>
        <v/>
      </c>
      <c r="G32" s="13">
        <f>INDEX(BANDAS!$G$9:$G$64,MATCH($B32,BANDAS!$B$9:$B$64,0))</f>
        <v/>
      </c>
    </row>
    <row r="33" ht="26" customHeight="1">
      <c r="A33" s="8" t="inlineStr">
        <is>
          <t>FITNESS</t>
        </is>
      </c>
      <c r="B33" s="8" t="inlineStr">
        <is>
          <t>BPC-157</t>
        </is>
      </c>
      <c r="C33" s="9" t="inlineStr">
        <is>
          <t>5 mg</t>
        </is>
      </c>
      <c r="D33" s="15">
        <f>ROUND(AVERAGE(BANDAS!$E$27,BANDAS!$F$27)*5/1,0)*1</f>
        <v/>
      </c>
      <c r="E33" s="16">
        <f>D33*BANDAS!$E$5</f>
        <v/>
      </c>
      <c r="F33" s="12">
        <f>INDEX(BANDAS!$H$9:$H$64,MATCH($B33,BANDAS!$B$9:$B$64,0))</f>
        <v/>
      </c>
      <c r="G33" s="14">
        <f>INDEX(BANDAS!$G$9:$G$64,MATCH($B33,BANDAS!$B$9:$B$64,0))</f>
        <v/>
      </c>
    </row>
    <row r="34" ht="26" customHeight="1">
      <c r="A34" s="8" t="inlineStr">
        <is>
          <t>FITNESS</t>
        </is>
      </c>
      <c r="B34" s="8" t="inlineStr">
        <is>
          <t>BPC-157</t>
        </is>
      </c>
      <c r="C34" s="9" t="inlineStr">
        <is>
          <t>10 mg</t>
        </is>
      </c>
      <c r="D34" s="15">
        <f>ROUND(AVERAGE(BANDAS!$E$27,BANDAS!$F$27)*10/1,0)*1</f>
        <v/>
      </c>
      <c r="E34" s="16">
        <f>D34*BANDAS!$E$5</f>
        <v/>
      </c>
      <c r="F34" s="12">
        <f>INDEX(BANDAS!$H$9:$H$64,MATCH($B34,BANDAS!$B$9:$B$64,0))</f>
        <v/>
      </c>
      <c r="G34" s="14">
        <f>INDEX(BANDAS!$G$9:$G$64,MATCH($B34,BANDAS!$B$9:$B$64,0))</f>
        <v/>
      </c>
    </row>
    <row r="35" ht="26" customHeight="1">
      <c r="A35" s="8" t="inlineStr">
        <is>
          <t>FITNESS</t>
        </is>
      </c>
      <c r="B35" s="8" t="inlineStr">
        <is>
          <t>BPC-157</t>
        </is>
      </c>
      <c r="C35" s="9" t="inlineStr">
        <is>
          <t>20 mg</t>
        </is>
      </c>
      <c r="D35" s="15">
        <f>ROUND(AVERAGE(BANDAS!$E$27,BANDAS!$F$27)*20/1,0)*1</f>
        <v/>
      </c>
      <c r="E35" s="16">
        <f>D35*BANDAS!$E$5</f>
        <v/>
      </c>
      <c r="F35" s="12">
        <f>INDEX(BANDAS!$H$9:$H$64,MATCH($B35,BANDAS!$B$9:$B$64,0))</f>
        <v/>
      </c>
      <c r="G35" s="14">
        <f>INDEX(BANDAS!$G$9:$G$64,MATCH($B35,BANDAS!$B$9:$B$64,0))</f>
        <v/>
      </c>
    </row>
    <row r="36" ht="26" customHeight="1">
      <c r="A36" s="8" t="inlineStr">
        <is>
          <t>FITNESS</t>
        </is>
      </c>
      <c r="B36" s="8" t="inlineStr">
        <is>
          <t>BPC-157 + TB-500</t>
        </is>
      </c>
      <c r="C36" s="9" t="inlineStr">
        <is>
          <t>10 mg</t>
        </is>
      </c>
      <c r="D36" s="15">
        <f>ROUND(AVERAGE(BANDAS!$E$28,BANDAS!$F$28)*10/1,0)*1</f>
        <v/>
      </c>
      <c r="E36" s="16">
        <f>D36*BANDAS!$E$5</f>
        <v/>
      </c>
      <c r="F36" s="12">
        <f>INDEX(BANDAS!$H$9:$H$64,MATCH($B36,BANDAS!$B$9:$B$64,0))</f>
        <v/>
      </c>
      <c r="G36" s="13">
        <f>INDEX(BANDAS!$G$9:$G$64,MATCH($B36,BANDAS!$B$9:$B$64,0))</f>
        <v/>
      </c>
    </row>
    <row r="37" ht="26" customHeight="1">
      <c r="A37" s="8" t="inlineStr">
        <is>
          <t>FITNESS</t>
        </is>
      </c>
      <c r="B37" s="8" t="inlineStr">
        <is>
          <t>BPC-157 + TB-500</t>
        </is>
      </c>
      <c r="C37" s="9" t="inlineStr">
        <is>
          <t>20 mg</t>
        </is>
      </c>
      <c r="D37" s="15">
        <f>ROUND(AVERAGE(BANDAS!$E$28,BANDAS!$F$28)*20/1,0)*1</f>
        <v/>
      </c>
      <c r="E37" s="16">
        <f>D37*BANDAS!$E$5</f>
        <v/>
      </c>
      <c r="F37" s="12">
        <f>INDEX(BANDAS!$H$9:$H$64,MATCH($B37,BANDAS!$B$9:$B$64,0))</f>
        <v/>
      </c>
      <c r="G37" s="13">
        <f>INDEX(BANDAS!$G$9:$G$64,MATCH($B37,BANDAS!$B$9:$B$64,0))</f>
        <v/>
      </c>
    </row>
    <row r="38" ht="26" customHeight="1">
      <c r="A38" s="8" t="inlineStr">
        <is>
          <t>FITNESS</t>
        </is>
      </c>
      <c r="B38" s="8" t="inlineStr">
        <is>
          <t>CJC-1295 (DAC)</t>
        </is>
      </c>
      <c r="C38" s="9" t="inlineStr">
        <is>
          <t>5 mg</t>
        </is>
      </c>
      <c r="D38" s="15">
        <f>ROUND(AVERAGE(BANDAS!$E$29,BANDAS!$F$29)*5/1,0)*1</f>
        <v/>
      </c>
      <c r="E38" s="16">
        <f>D38*BANDAS!$E$5</f>
        <v/>
      </c>
      <c r="F38" s="12">
        <f>INDEX(BANDAS!$H$9:$H$64,MATCH($B38,BANDAS!$B$9:$B$64,0))</f>
        <v/>
      </c>
      <c r="G38" s="13">
        <f>INDEX(BANDAS!$G$9:$G$64,MATCH($B38,BANDAS!$B$9:$B$64,0))</f>
        <v/>
      </c>
    </row>
    <row r="39" ht="26" customHeight="1">
      <c r="A39" s="8" t="inlineStr">
        <is>
          <t>FITNESS</t>
        </is>
      </c>
      <c r="B39" s="8" t="inlineStr">
        <is>
          <t>CJC-1295 (DAC)</t>
        </is>
      </c>
      <c r="C39" s="9" t="inlineStr">
        <is>
          <t>10 mg</t>
        </is>
      </c>
      <c r="D39" s="15">
        <f>ROUND(AVERAGE(BANDAS!$E$29,BANDAS!$F$29)*10/1,0)*1</f>
        <v/>
      </c>
      <c r="E39" s="16">
        <f>D39*BANDAS!$E$5</f>
        <v/>
      </c>
      <c r="F39" s="12">
        <f>INDEX(BANDAS!$H$9:$H$64,MATCH($B39,BANDAS!$B$9:$B$64,0))</f>
        <v/>
      </c>
      <c r="G39" s="13">
        <f>INDEX(BANDAS!$G$9:$G$64,MATCH($B39,BANDAS!$B$9:$B$64,0))</f>
        <v/>
      </c>
    </row>
    <row r="40" ht="26" customHeight="1">
      <c r="A40" s="8" t="inlineStr">
        <is>
          <t>FITNESS</t>
        </is>
      </c>
      <c r="B40" s="8" t="inlineStr">
        <is>
          <t>CJC-1295 (no DAC)</t>
        </is>
      </c>
      <c r="C40" s="9" t="inlineStr">
        <is>
          <t>5 mg</t>
        </is>
      </c>
      <c r="D40" s="15">
        <f>ROUND(AVERAGE(BANDAS!$E$30,BANDAS!$F$30)*5/1,0)*1</f>
        <v/>
      </c>
      <c r="E40" s="16">
        <f>D40*BANDAS!$E$5</f>
        <v/>
      </c>
      <c r="F40" s="12">
        <f>INDEX(BANDAS!$H$9:$H$64,MATCH($B40,BANDAS!$B$9:$B$64,0))</f>
        <v/>
      </c>
      <c r="G40" s="13">
        <f>INDEX(BANDAS!$G$9:$G$64,MATCH($B40,BANDAS!$B$9:$B$64,0))</f>
        <v/>
      </c>
    </row>
    <row r="41" ht="26" customHeight="1">
      <c r="A41" s="8" t="inlineStr">
        <is>
          <t>FITNESS</t>
        </is>
      </c>
      <c r="B41" s="8" t="inlineStr">
        <is>
          <t>CJC-1295 (no DAC)</t>
        </is>
      </c>
      <c r="C41" s="9" t="inlineStr">
        <is>
          <t>10 mg</t>
        </is>
      </c>
      <c r="D41" s="15">
        <f>ROUND(AVERAGE(BANDAS!$E$30,BANDAS!$F$30)*10/1,0)*1</f>
        <v/>
      </c>
      <c r="E41" s="16">
        <f>D41*BANDAS!$E$5</f>
        <v/>
      </c>
      <c r="F41" s="12">
        <f>INDEX(BANDAS!$H$9:$H$64,MATCH($B41,BANDAS!$B$9:$B$64,0))</f>
        <v/>
      </c>
      <c r="G41" s="13">
        <f>INDEX(BANDAS!$G$9:$G$64,MATCH($B41,BANDAS!$B$9:$B$64,0))</f>
        <v/>
      </c>
    </row>
    <row r="42" ht="26" customHeight="1">
      <c r="A42" s="8" t="inlineStr">
        <is>
          <t>FITNESS</t>
        </is>
      </c>
      <c r="B42" s="8" t="inlineStr">
        <is>
          <t>CJC-1295 + Ipamorelin</t>
        </is>
      </c>
      <c r="C42" s="9" t="inlineStr">
        <is>
          <t>10 mg</t>
        </is>
      </c>
      <c r="D42" s="15">
        <f>ROUND(AVERAGE(BANDAS!$E$31,BANDAS!$F$31)*10/1,0)*1</f>
        <v/>
      </c>
      <c r="E42" s="16">
        <f>D42*BANDAS!$E$5</f>
        <v/>
      </c>
      <c r="F42" s="12">
        <f>INDEX(BANDAS!$H$9:$H$64,MATCH($B42,BANDAS!$B$9:$B$64,0))</f>
        <v/>
      </c>
      <c r="G42" s="14">
        <f>INDEX(BANDAS!$G$9:$G$64,MATCH($B42,BANDAS!$B$9:$B$64,0))</f>
        <v/>
      </c>
    </row>
    <row r="43" ht="26" customHeight="1">
      <c r="A43" s="8" t="inlineStr">
        <is>
          <t>FITNESS</t>
        </is>
      </c>
      <c r="B43" s="8" t="inlineStr">
        <is>
          <t>Cagri + Sema</t>
        </is>
      </c>
      <c r="C43" s="9" t="inlineStr">
        <is>
          <t>5 mg</t>
        </is>
      </c>
      <c r="D43" s="15">
        <f>ROUND(AVERAGE(BANDAS!$E$32,BANDAS!$F$32)*5/1,0)*1</f>
        <v/>
      </c>
      <c r="E43" s="16">
        <f>D43*BANDAS!$E$5</f>
        <v/>
      </c>
      <c r="F43" s="12">
        <f>INDEX(BANDAS!$H$9:$H$64,MATCH($B43,BANDAS!$B$9:$B$64,0))</f>
        <v/>
      </c>
      <c r="G43" s="13">
        <f>INDEX(BANDAS!$G$9:$G$64,MATCH($B43,BANDAS!$B$9:$B$64,0))</f>
        <v/>
      </c>
    </row>
    <row r="44" ht="26" customHeight="1">
      <c r="A44" s="8" t="inlineStr">
        <is>
          <t>FITNESS</t>
        </is>
      </c>
      <c r="B44" s="8" t="inlineStr">
        <is>
          <t>Cagri + Sema</t>
        </is>
      </c>
      <c r="C44" s="9" t="inlineStr">
        <is>
          <t>10 mg</t>
        </is>
      </c>
      <c r="D44" s="15">
        <f>ROUND(AVERAGE(BANDAS!$E$32,BANDAS!$F$32)*10/1,0)*1</f>
        <v/>
      </c>
      <c r="E44" s="16">
        <f>D44*BANDAS!$E$5</f>
        <v/>
      </c>
      <c r="F44" s="12">
        <f>INDEX(BANDAS!$H$9:$H$64,MATCH($B44,BANDAS!$B$9:$B$64,0))</f>
        <v/>
      </c>
      <c r="G44" s="13">
        <f>INDEX(BANDAS!$G$9:$G$64,MATCH($B44,BANDAS!$B$9:$B$64,0))</f>
        <v/>
      </c>
    </row>
    <row r="45" ht="26" customHeight="1">
      <c r="A45" s="8" t="inlineStr">
        <is>
          <t>FITNESS</t>
        </is>
      </c>
      <c r="B45" s="8" t="inlineStr">
        <is>
          <t>Cagrilintide</t>
        </is>
      </c>
      <c r="C45" s="9" t="inlineStr">
        <is>
          <t>5 mg</t>
        </is>
      </c>
      <c r="D45" s="15">
        <f>ROUND(AVERAGE(BANDAS!$E$33,BANDAS!$F$33)*5/1,0)*1</f>
        <v/>
      </c>
      <c r="E45" s="16">
        <f>D45*BANDAS!$E$5</f>
        <v/>
      </c>
      <c r="F45" s="12">
        <f>INDEX(BANDAS!$H$9:$H$64,MATCH($B45,BANDAS!$B$9:$B$64,0))</f>
        <v/>
      </c>
      <c r="G45" s="13">
        <f>INDEX(BANDAS!$G$9:$G$64,MATCH($B45,BANDAS!$B$9:$B$64,0))</f>
        <v/>
      </c>
    </row>
    <row r="46" ht="26" customHeight="1">
      <c r="A46" s="8" t="inlineStr">
        <is>
          <t>FITNESS</t>
        </is>
      </c>
      <c r="B46" s="8" t="inlineStr">
        <is>
          <t>Cagrilintide</t>
        </is>
      </c>
      <c r="C46" s="9" t="inlineStr">
        <is>
          <t>10 mg</t>
        </is>
      </c>
      <c r="D46" s="15">
        <f>ROUND(AVERAGE(BANDAS!$E$33,BANDAS!$F$33)*10/1,0)*1</f>
        <v/>
      </c>
      <c r="E46" s="16">
        <f>D46*BANDAS!$E$5</f>
        <v/>
      </c>
      <c r="F46" s="12">
        <f>INDEX(BANDAS!$H$9:$H$64,MATCH($B46,BANDAS!$B$9:$B$64,0))</f>
        <v/>
      </c>
      <c r="G46" s="13">
        <f>INDEX(BANDAS!$G$9:$G$64,MATCH($B46,BANDAS!$B$9:$B$64,0))</f>
        <v/>
      </c>
    </row>
    <row r="47" ht="26" customHeight="1">
      <c r="A47" s="8" t="inlineStr">
        <is>
          <t>FITNESS</t>
        </is>
      </c>
      <c r="B47" s="8" t="inlineStr">
        <is>
          <t>GHRP-2</t>
        </is>
      </c>
      <c r="C47" s="9" t="inlineStr">
        <is>
          <t>5 mg</t>
        </is>
      </c>
      <c r="D47" s="15">
        <f>ROUND(AVERAGE(BANDAS!$E$34,BANDAS!$F$34)*5/1,0)*1</f>
        <v/>
      </c>
      <c r="E47" s="16">
        <f>D47*BANDAS!$E$5</f>
        <v/>
      </c>
      <c r="F47" s="12">
        <f>INDEX(BANDAS!$H$9:$H$64,MATCH($B47,BANDAS!$B$9:$B$64,0))</f>
        <v/>
      </c>
      <c r="G47" s="13">
        <f>INDEX(BANDAS!$G$9:$G$64,MATCH($B47,BANDAS!$B$9:$B$64,0))</f>
        <v/>
      </c>
    </row>
    <row r="48" ht="26" customHeight="1">
      <c r="A48" s="8" t="inlineStr">
        <is>
          <t>FITNESS</t>
        </is>
      </c>
      <c r="B48" s="8" t="inlineStr">
        <is>
          <t>GHRP-2</t>
        </is>
      </c>
      <c r="C48" s="9" t="inlineStr">
        <is>
          <t>10 mg</t>
        </is>
      </c>
      <c r="D48" s="15">
        <f>ROUND(AVERAGE(BANDAS!$E$34,BANDAS!$F$34)*10/1,0)*1</f>
        <v/>
      </c>
      <c r="E48" s="16">
        <f>D48*BANDAS!$E$5</f>
        <v/>
      </c>
      <c r="F48" s="12">
        <f>INDEX(BANDAS!$H$9:$H$64,MATCH($B48,BANDAS!$B$9:$B$64,0))</f>
        <v/>
      </c>
      <c r="G48" s="13">
        <f>INDEX(BANDAS!$G$9:$G$64,MATCH($B48,BANDAS!$B$9:$B$64,0))</f>
        <v/>
      </c>
    </row>
    <row r="49" ht="26" customHeight="1">
      <c r="A49" s="8" t="inlineStr">
        <is>
          <t>FITNESS</t>
        </is>
      </c>
      <c r="B49" s="8" t="inlineStr">
        <is>
          <t>GHRP-6</t>
        </is>
      </c>
      <c r="C49" s="9" t="inlineStr">
        <is>
          <t>5 mg</t>
        </is>
      </c>
      <c r="D49" s="15">
        <f>ROUND(AVERAGE(BANDAS!$E$35,BANDAS!$F$35)*5/1,0)*1</f>
        <v/>
      </c>
      <c r="E49" s="16">
        <f>D49*BANDAS!$E$5</f>
        <v/>
      </c>
      <c r="F49" s="12">
        <f>INDEX(BANDAS!$H$9:$H$64,MATCH($B49,BANDAS!$B$9:$B$64,0))</f>
        <v/>
      </c>
      <c r="G49" s="13">
        <f>INDEX(BANDAS!$G$9:$G$64,MATCH($B49,BANDAS!$B$9:$B$64,0))</f>
        <v/>
      </c>
    </row>
    <row r="50" ht="26" customHeight="1">
      <c r="A50" s="8" t="inlineStr">
        <is>
          <t>FITNESS</t>
        </is>
      </c>
      <c r="B50" s="8" t="inlineStr">
        <is>
          <t>GHRP-6</t>
        </is>
      </c>
      <c r="C50" s="9" t="inlineStr">
        <is>
          <t>10 mg</t>
        </is>
      </c>
      <c r="D50" s="15">
        <f>ROUND(AVERAGE(BANDAS!$E$35,BANDAS!$F$35)*10/1,0)*1</f>
        <v/>
      </c>
      <c r="E50" s="16">
        <f>D50*BANDAS!$E$5</f>
        <v/>
      </c>
      <c r="F50" s="12">
        <f>INDEX(BANDAS!$H$9:$H$64,MATCH($B50,BANDAS!$B$9:$B$64,0))</f>
        <v/>
      </c>
      <c r="G50" s="13">
        <f>INDEX(BANDAS!$G$9:$G$64,MATCH($B50,BANDAS!$B$9:$B$64,0))</f>
        <v/>
      </c>
    </row>
    <row r="51" ht="26" customHeight="1">
      <c r="A51" s="8" t="inlineStr">
        <is>
          <t>FITNESS</t>
        </is>
      </c>
      <c r="B51" s="8" t="inlineStr">
        <is>
          <t>HGH 191AA</t>
        </is>
      </c>
      <c r="C51" s="9" t="inlineStr">
        <is>
          <t>10 iu</t>
        </is>
      </c>
      <c r="D51" s="15">
        <f>ROUND(AVERAGE(BANDAS!$E$36,BANDAS!$F$36)*10/1,0)*1</f>
        <v/>
      </c>
      <c r="E51" s="16">
        <f>D51*BANDAS!$E$5</f>
        <v/>
      </c>
      <c r="F51" s="12">
        <f>INDEX(BANDAS!$H$9:$H$64,MATCH($B51,BANDAS!$B$9:$B$64,0))</f>
        <v/>
      </c>
      <c r="G51" s="13">
        <f>INDEX(BANDAS!$G$9:$G$64,MATCH($B51,BANDAS!$B$9:$B$64,0))</f>
        <v/>
      </c>
    </row>
    <row r="52" ht="26" customHeight="1">
      <c r="A52" s="8" t="inlineStr">
        <is>
          <t>FITNESS</t>
        </is>
      </c>
      <c r="B52" s="8" t="inlineStr">
        <is>
          <t>HGH 191AA</t>
        </is>
      </c>
      <c r="C52" s="9" t="inlineStr">
        <is>
          <t>12 iu</t>
        </is>
      </c>
      <c r="D52" s="15">
        <f>ROUND(AVERAGE(BANDAS!$E$36,BANDAS!$F$36)*12/1,0)*1</f>
        <v/>
      </c>
      <c r="E52" s="16">
        <f>D52*BANDAS!$E$5</f>
        <v/>
      </c>
      <c r="F52" s="12">
        <f>INDEX(BANDAS!$H$9:$H$64,MATCH($B52,BANDAS!$B$9:$B$64,0))</f>
        <v/>
      </c>
      <c r="G52" s="13">
        <f>INDEX(BANDAS!$G$9:$G$64,MATCH($B52,BANDAS!$B$9:$B$64,0))</f>
        <v/>
      </c>
    </row>
    <row r="53" ht="26" customHeight="1">
      <c r="A53" s="8" t="inlineStr">
        <is>
          <t>FITNESS</t>
        </is>
      </c>
      <c r="B53" s="8" t="inlineStr">
        <is>
          <t>HGH 191AA</t>
        </is>
      </c>
      <c r="C53" s="9" t="inlineStr">
        <is>
          <t>15 iu</t>
        </is>
      </c>
      <c r="D53" s="15">
        <f>ROUND(AVERAGE(BANDAS!$E$36,BANDAS!$F$36)*15/1,0)*1</f>
        <v/>
      </c>
      <c r="E53" s="16">
        <f>D53*BANDAS!$E$5</f>
        <v/>
      </c>
      <c r="F53" s="12">
        <f>INDEX(BANDAS!$H$9:$H$64,MATCH($B53,BANDAS!$B$9:$B$64,0))</f>
        <v/>
      </c>
      <c r="G53" s="13">
        <f>INDEX(BANDAS!$G$9:$G$64,MATCH($B53,BANDAS!$B$9:$B$64,0))</f>
        <v/>
      </c>
    </row>
    <row r="54" ht="26" customHeight="1">
      <c r="A54" s="8" t="inlineStr">
        <is>
          <t>FITNESS</t>
        </is>
      </c>
      <c r="B54" s="8" t="inlineStr">
        <is>
          <t>HGH 191AA</t>
        </is>
      </c>
      <c r="C54" s="9" t="inlineStr">
        <is>
          <t>24 iu</t>
        </is>
      </c>
      <c r="D54" s="15">
        <f>ROUND(AVERAGE(BANDAS!$E$36,BANDAS!$F$36)*24/1,0)*1</f>
        <v/>
      </c>
      <c r="E54" s="16">
        <f>D54*BANDAS!$E$5</f>
        <v/>
      </c>
      <c r="F54" s="12">
        <f>INDEX(BANDAS!$H$9:$H$64,MATCH($B54,BANDAS!$B$9:$B$64,0))</f>
        <v/>
      </c>
      <c r="G54" s="13">
        <f>INDEX(BANDAS!$G$9:$G$64,MATCH($B54,BANDAS!$B$9:$B$64,0))</f>
        <v/>
      </c>
    </row>
    <row r="55" ht="26" customHeight="1">
      <c r="A55" s="8" t="inlineStr">
        <is>
          <t>FITNESS</t>
        </is>
      </c>
      <c r="B55" s="8" t="inlineStr">
        <is>
          <t>HGH 191AA</t>
        </is>
      </c>
      <c r="C55" s="9" t="inlineStr">
        <is>
          <t>36 iu</t>
        </is>
      </c>
      <c r="D55" s="15">
        <f>ROUND(AVERAGE(BANDAS!$E$36,BANDAS!$F$36)*36/1,0)*1</f>
        <v/>
      </c>
      <c r="E55" s="16">
        <f>D55*BANDAS!$E$5</f>
        <v/>
      </c>
      <c r="F55" s="12">
        <f>INDEX(BANDAS!$H$9:$H$64,MATCH($B55,BANDAS!$B$9:$B$64,0))</f>
        <v/>
      </c>
      <c r="G55" s="13">
        <f>INDEX(BANDAS!$G$9:$G$64,MATCH($B55,BANDAS!$B$9:$B$64,0))</f>
        <v/>
      </c>
    </row>
    <row r="56" ht="26" customHeight="1">
      <c r="A56" s="8" t="inlineStr">
        <is>
          <t>FITNESS</t>
        </is>
      </c>
      <c r="B56" s="8" t="inlineStr">
        <is>
          <t>Hexarelin</t>
        </is>
      </c>
      <c r="C56" s="9" t="inlineStr">
        <is>
          <t>2 mg</t>
        </is>
      </c>
      <c r="D56" s="15">
        <f>ROUND(AVERAGE(BANDAS!$E$37,BANDAS!$F$37)*2/1,0)*1</f>
        <v/>
      </c>
      <c r="E56" s="16">
        <f>D56*BANDAS!$E$5</f>
        <v/>
      </c>
      <c r="F56" s="12">
        <f>INDEX(BANDAS!$H$9:$H$64,MATCH($B56,BANDAS!$B$9:$B$64,0))</f>
        <v/>
      </c>
      <c r="G56" s="13">
        <f>INDEX(BANDAS!$G$9:$G$64,MATCH($B56,BANDAS!$B$9:$B$64,0))</f>
        <v/>
      </c>
    </row>
    <row r="57" ht="26" customHeight="1">
      <c r="A57" s="8" t="inlineStr">
        <is>
          <t>FITNESS</t>
        </is>
      </c>
      <c r="B57" s="8" t="inlineStr">
        <is>
          <t>Hexarelin</t>
        </is>
      </c>
      <c r="C57" s="9" t="inlineStr">
        <is>
          <t>5 mg</t>
        </is>
      </c>
      <c r="D57" s="15">
        <f>ROUND(AVERAGE(BANDAS!$E$37,BANDAS!$F$37)*5/1,0)*1</f>
        <v/>
      </c>
      <c r="E57" s="16">
        <f>D57*BANDAS!$E$5</f>
        <v/>
      </c>
      <c r="F57" s="12">
        <f>INDEX(BANDAS!$H$9:$H$64,MATCH($B57,BANDAS!$B$9:$B$64,0))</f>
        <v/>
      </c>
      <c r="G57" s="13">
        <f>INDEX(BANDAS!$G$9:$G$64,MATCH($B57,BANDAS!$B$9:$B$64,0))</f>
        <v/>
      </c>
    </row>
    <row r="58" ht="26" customHeight="1">
      <c r="A58" s="8" t="inlineStr">
        <is>
          <t>FITNESS</t>
        </is>
      </c>
      <c r="B58" s="8" t="inlineStr">
        <is>
          <t>IGF-1 LR3</t>
        </is>
      </c>
      <c r="C58" s="9" t="inlineStr">
        <is>
          <t>0.1 mg</t>
        </is>
      </c>
      <c r="D58" s="15">
        <f>ROUND(AVERAGE(BANDAS!$E$38,BANDAS!$F$38)*0.1/1,0)*1</f>
        <v/>
      </c>
      <c r="E58" s="16">
        <f>D58*BANDAS!$E$5</f>
        <v/>
      </c>
      <c r="F58" s="12">
        <f>INDEX(BANDAS!$H$9:$H$64,MATCH($B58,BANDAS!$B$9:$B$64,0))</f>
        <v/>
      </c>
      <c r="G58" s="13">
        <f>INDEX(BANDAS!$G$9:$G$64,MATCH($B58,BANDAS!$B$9:$B$64,0))</f>
        <v/>
      </c>
    </row>
    <row r="59" ht="26" customHeight="1">
      <c r="A59" s="8" t="inlineStr">
        <is>
          <t>FITNESS</t>
        </is>
      </c>
      <c r="B59" s="8" t="inlineStr">
        <is>
          <t>IGF-1 LR3</t>
        </is>
      </c>
      <c r="C59" s="9" t="inlineStr">
        <is>
          <t>1 mg</t>
        </is>
      </c>
      <c r="D59" s="15">
        <f>ROUND(AVERAGE(BANDAS!$E$38,BANDAS!$F$38)*1/1,0)*1</f>
        <v/>
      </c>
      <c r="E59" s="16">
        <f>D59*BANDAS!$E$5</f>
        <v/>
      </c>
      <c r="F59" s="12">
        <f>INDEX(BANDAS!$H$9:$H$64,MATCH($B59,BANDAS!$B$9:$B$64,0))</f>
        <v/>
      </c>
      <c r="G59" s="13">
        <f>INDEX(BANDAS!$G$9:$G$64,MATCH($B59,BANDAS!$B$9:$B$64,0))</f>
        <v/>
      </c>
    </row>
    <row r="60" ht="26" customHeight="1">
      <c r="A60" s="8" t="inlineStr">
        <is>
          <t>FITNESS</t>
        </is>
      </c>
      <c r="B60" s="8" t="inlineStr">
        <is>
          <t>Ipamorelin</t>
        </is>
      </c>
      <c r="C60" s="9" t="inlineStr">
        <is>
          <t>5 mg</t>
        </is>
      </c>
      <c r="D60" s="15">
        <f>ROUND(AVERAGE(BANDAS!$E$39,BANDAS!$F$39)*5/1,0)*1</f>
        <v/>
      </c>
      <c r="E60" s="16">
        <f>D60*BANDAS!$E$5</f>
        <v/>
      </c>
      <c r="F60" s="12">
        <f>INDEX(BANDAS!$H$9:$H$64,MATCH($B60,BANDAS!$B$9:$B$64,0))</f>
        <v/>
      </c>
      <c r="G60" s="13">
        <f>INDEX(BANDAS!$G$9:$G$64,MATCH($B60,BANDAS!$B$9:$B$64,0))</f>
        <v/>
      </c>
    </row>
    <row r="61" ht="26" customHeight="1">
      <c r="A61" s="8" t="inlineStr">
        <is>
          <t>FITNESS</t>
        </is>
      </c>
      <c r="B61" s="8" t="inlineStr">
        <is>
          <t>Ipamorelin</t>
        </is>
      </c>
      <c r="C61" s="9" t="inlineStr">
        <is>
          <t>10 mg</t>
        </is>
      </c>
      <c r="D61" s="15">
        <f>ROUND(AVERAGE(BANDAS!$E$39,BANDAS!$F$39)*10/1,0)*1</f>
        <v/>
      </c>
      <c r="E61" s="16">
        <f>D61*BANDAS!$E$5</f>
        <v/>
      </c>
      <c r="F61" s="12">
        <f>INDEX(BANDAS!$H$9:$H$64,MATCH($B61,BANDAS!$B$9:$B$64,0))</f>
        <v/>
      </c>
      <c r="G61" s="13">
        <f>INDEX(BANDAS!$G$9:$G$64,MATCH($B61,BANDAS!$B$9:$B$64,0))</f>
        <v/>
      </c>
    </row>
    <row r="62" ht="26" customHeight="1">
      <c r="A62" s="8" t="inlineStr">
        <is>
          <t>FITNESS</t>
        </is>
      </c>
      <c r="B62" s="8" t="inlineStr">
        <is>
          <t>L-Carnitine</t>
        </is>
      </c>
      <c r="C62" s="9" t="inlineStr">
        <is>
          <t>600 mg</t>
        </is>
      </c>
      <c r="D62" s="15">
        <f>ROUND(AVERAGE(BANDAS!$E$40,BANDAS!$F$40)*600/1,0)*1</f>
        <v/>
      </c>
      <c r="E62" s="16">
        <f>D62*BANDAS!$E$5</f>
        <v/>
      </c>
      <c r="F62" s="12">
        <f>INDEX(BANDAS!$H$9:$H$64,MATCH($B62,BANDAS!$B$9:$B$64,0))</f>
        <v/>
      </c>
      <c r="G62" s="13">
        <f>INDEX(BANDAS!$G$9:$G$64,MATCH($B62,BANDAS!$B$9:$B$64,0))</f>
        <v/>
      </c>
    </row>
    <row r="63" ht="26" customHeight="1">
      <c r="A63" s="8" t="inlineStr">
        <is>
          <t>FITNESS</t>
        </is>
      </c>
      <c r="B63" s="8" t="inlineStr">
        <is>
          <t>L-Carnitine</t>
        </is>
      </c>
      <c r="C63" s="9" t="inlineStr">
        <is>
          <t>1200 mg</t>
        </is>
      </c>
      <c r="D63" s="15">
        <f>ROUND(AVERAGE(BANDAS!$E$40,BANDAS!$F$40)*1200/1,0)*1</f>
        <v/>
      </c>
      <c r="E63" s="16">
        <f>D63*BANDAS!$E$5</f>
        <v/>
      </c>
      <c r="F63" s="12">
        <f>INDEX(BANDAS!$H$9:$H$64,MATCH($B63,BANDAS!$B$9:$B$64,0))</f>
        <v/>
      </c>
      <c r="G63" s="13">
        <f>INDEX(BANDAS!$G$9:$G$64,MATCH($B63,BANDAS!$B$9:$B$64,0))</f>
        <v/>
      </c>
    </row>
    <row r="64" ht="26" customHeight="1">
      <c r="A64" s="8" t="inlineStr">
        <is>
          <t>FITNESS</t>
        </is>
      </c>
      <c r="B64" s="8" t="inlineStr">
        <is>
          <t>Lipo-C + B12</t>
        </is>
      </c>
      <c r="C64" s="9" t="inlineStr">
        <is>
          <t>10 ml</t>
        </is>
      </c>
      <c r="D64" s="15">
        <f>ROUND(AVERAGE(BANDAS!$E$41,BANDAS!$F$41)*10/1,0)*1</f>
        <v/>
      </c>
      <c r="E64" s="16">
        <f>D64*BANDAS!$E$5</f>
        <v/>
      </c>
      <c r="F64" s="12">
        <f>INDEX(BANDAS!$H$9:$H$64,MATCH($B64,BANDAS!$B$9:$B$64,0))</f>
        <v/>
      </c>
      <c r="G64" s="13">
        <f>INDEX(BANDAS!$G$9:$G$64,MATCH($B64,BANDAS!$B$9:$B$64,0))</f>
        <v/>
      </c>
    </row>
    <row r="65" ht="26" customHeight="1">
      <c r="A65" s="8" t="inlineStr">
        <is>
          <t>FITNESS</t>
        </is>
      </c>
      <c r="B65" s="8" t="inlineStr">
        <is>
          <t>MOTS-c</t>
        </is>
      </c>
      <c r="C65" s="9" t="inlineStr">
        <is>
          <t>10 mg</t>
        </is>
      </c>
      <c r="D65" s="15">
        <f>ROUND(AVERAGE(BANDAS!$E$42,BANDAS!$F$42)*10/1,0)*1</f>
        <v/>
      </c>
      <c r="E65" s="16">
        <f>D65*BANDAS!$E$5</f>
        <v/>
      </c>
      <c r="F65" s="12">
        <f>INDEX(BANDAS!$H$9:$H$64,MATCH($B65,BANDAS!$B$9:$B$64,0))</f>
        <v/>
      </c>
      <c r="G65" s="13">
        <f>INDEX(BANDAS!$G$9:$G$64,MATCH($B65,BANDAS!$B$9:$B$64,0))</f>
        <v/>
      </c>
    </row>
    <row r="66" ht="26" customHeight="1">
      <c r="A66" s="8" t="inlineStr">
        <is>
          <t>FITNESS</t>
        </is>
      </c>
      <c r="B66" s="8" t="inlineStr">
        <is>
          <t>MOTS-c</t>
        </is>
      </c>
      <c r="C66" s="9" t="inlineStr">
        <is>
          <t>20 mg</t>
        </is>
      </c>
      <c r="D66" s="15">
        <f>ROUND(AVERAGE(BANDAS!$E$42,BANDAS!$F$42)*20/1,0)*1</f>
        <v/>
      </c>
      <c r="E66" s="16">
        <f>D66*BANDAS!$E$5</f>
        <v/>
      </c>
      <c r="F66" s="12">
        <f>INDEX(BANDAS!$H$9:$H$64,MATCH($B66,BANDAS!$B$9:$B$64,0))</f>
        <v/>
      </c>
      <c r="G66" s="13">
        <f>INDEX(BANDAS!$G$9:$G$64,MATCH($B66,BANDAS!$B$9:$B$64,0))</f>
        <v/>
      </c>
    </row>
    <row r="67" ht="26" customHeight="1">
      <c r="A67" s="8" t="inlineStr">
        <is>
          <t>FITNESS</t>
        </is>
      </c>
      <c r="B67" s="8" t="inlineStr">
        <is>
          <t>MOTS-c</t>
        </is>
      </c>
      <c r="C67" s="9" t="inlineStr">
        <is>
          <t>40 mg</t>
        </is>
      </c>
      <c r="D67" s="15">
        <f>ROUND(AVERAGE(BANDAS!$E$42,BANDAS!$F$42)*40/1,0)*1</f>
        <v/>
      </c>
      <c r="E67" s="16">
        <f>D67*BANDAS!$E$5</f>
        <v/>
      </c>
      <c r="F67" s="12">
        <f>INDEX(BANDAS!$H$9:$H$64,MATCH($B67,BANDAS!$B$9:$B$64,0))</f>
        <v/>
      </c>
      <c r="G67" s="13">
        <f>INDEX(BANDAS!$G$9:$G$64,MATCH($B67,BANDAS!$B$9:$B$64,0))</f>
        <v/>
      </c>
    </row>
    <row r="68" ht="26" customHeight="1">
      <c r="A68" s="8" t="inlineStr">
        <is>
          <t>FITNESS</t>
        </is>
      </c>
      <c r="B68" s="8" t="inlineStr">
        <is>
          <t>Mazdutide</t>
        </is>
      </c>
      <c r="C68" s="9" t="inlineStr">
        <is>
          <t>5 mg</t>
        </is>
      </c>
      <c r="D68" s="15">
        <f>ROUND(AVERAGE(BANDAS!$E$43,BANDAS!$F$43)*5/1,0)*1</f>
        <v/>
      </c>
      <c r="E68" s="16">
        <f>D68*BANDAS!$E$5</f>
        <v/>
      </c>
      <c r="F68" s="12">
        <f>INDEX(BANDAS!$H$9:$H$64,MATCH($B68,BANDAS!$B$9:$B$64,0))</f>
        <v/>
      </c>
      <c r="G68" s="13">
        <f>INDEX(BANDAS!$G$9:$G$64,MATCH($B68,BANDAS!$B$9:$B$64,0))</f>
        <v/>
      </c>
    </row>
    <row r="69" ht="26" customHeight="1">
      <c r="A69" s="8" t="inlineStr">
        <is>
          <t>FITNESS</t>
        </is>
      </c>
      <c r="B69" s="8" t="inlineStr">
        <is>
          <t>Mazdutide</t>
        </is>
      </c>
      <c r="C69" s="9" t="inlineStr">
        <is>
          <t>10 mg</t>
        </is>
      </c>
      <c r="D69" s="15">
        <f>ROUND(AVERAGE(BANDAS!$E$43,BANDAS!$F$43)*10/1,0)*1</f>
        <v/>
      </c>
      <c r="E69" s="16">
        <f>D69*BANDAS!$E$5</f>
        <v/>
      </c>
      <c r="F69" s="12">
        <f>INDEX(BANDAS!$H$9:$H$64,MATCH($B69,BANDAS!$B$9:$B$64,0))</f>
        <v/>
      </c>
      <c r="G69" s="13">
        <f>INDEX(BANDAS!$G$9:$G$64,MATCH($B69,BANDAS!$B$9:$B$64,0))</f>
        <v/>
      </c>
    </row>
    <row r="70" ht="26" customHeight="1">
      <c r="A70" s="8" t="inlineStr">
        <is>
          <t>FITNESS</t>
        </is>
      </c>
      <c r="B70" s="8" t="inlineStr">
        <is>
          <t>Retatrutide</t>
        </is>
      </c>
      <c r="C70" s="9" t="inlineStr">
        <is>
          <t>5 mg</t>
        </is>
      </c>
      <c r="D70" s="15">
        <f>ROUND(AVERAGE(BANDAS!$E$44,BANDAS!$F$44)*5/1,0)*1</f>
        <v/>
      </c>
      <c r="E70" s="16">
        <f>D70*BANDAS!$E$5</f>
        <v/>
      </c>
      <c r="F70" s="12">
        <f>INDEX(BANDAS!$H$9:$H$64,MATCH($B70,BANDAS!$B$9:$B$64,0))</f>
        <v/>
      </c>
      <c r="G70" s="14">
        <f>INDEX(BANDAS!$G$9:$G$64,MATCH($B70,BANDAS!$B$9:$B$64,0))</f>
        <v/>
      </c>
    </row>
    <row r="71" ht="26" customHeight="1">
      <c r="A71" s="8" t="inlineStr">
        <is>
          <t>FITNESS</t>
        </is>
      </c>
      <c r="B71" s="8" t="inlineStr">
        <is>
          <t>Retatrutide</t>
        </is>
      </c>
      <c r="C71" s="9" t="inlineStr">
        <is>
          <t>10 mg</t>
        </is>
      </c>
      <c r="D71" s="15">
        <f>ROUND(AVERAGE(BANDAS!$E$44,BANDAS!$F$44)*10/1,0)*1</f>
        <v/>
      </c>
      <c r="E71" s="16">
        <f>D71*BANDAS!$E$5</f>
        <v/>
      </c>
      <c r="F71" s="12">
        <f>INDEX(BANDAS!$H$9:$H$64,MATCH($B71,BANDAS!$B$9:$B$64,0))</f>
        <v/>
      </c>
      <c r="G71" s="14">
        <f>INDEX(BANDAS!$G$9:$G$64,MATCH($B71,BANDAS!$B$9:$B$64,0))</f>
        <v/>
      </c>
    </row>
    <row r="72" ht="26" customHeight="1">
      <c r="A72" s="8" t="inlineStr">
        <is>
          <t>FITNESS</t>
        </is>
      </c>
      <c r="B72" s="8" t="inlineStr">
        <is>
          <t>Retatrutide</t>
        </is>
      </c>
      <c r="C72" s="9" t="inlineStr">
        <is>
          <t>15 mg</t>
        </is>
      </c>
      <c r="D72" s="15">
        <f>ROUND(AVERAGE(BANDAS!$E$44,BANDAS!$F$44)*15/1,0)*1</f>
        <v/>
      </c>
      <c r="E72" s="16">
        <f>D72*BANDAS!$E$5</f>
        <v/>
      </c>
      <c r="F72" s="12">
        <f>INDEX(BANDAS!$H$9:$H$64,MATCH($B72,BANDAS!$B$9:$B$64,0))</f>
        <v/>
      </c>
      <c r="G72" s="14">
        <f>INDEX(BANDAS!$G$9:$G$64,MATCH($B72,BANDAS!$B$9:$B$64,0))</f>
        <v/>
      </c>
    </row>
    <row r="73" ht="26" customHeight="1">
      <c r="A73" s="8" t="inlineStr">
        <is>
          <t>FITNESS</t>
        </is>
      </c>
      <c r="B73" s="8" t="inlineStr">
        <is>
          <t>Retatrutide</t>
        </is>
      </c>
      <c r="C73" s="9" t="inlineStr">
        <is>
          <t>20 mg</t>
        </is>
      </c>
      <c r="D73" s="15">
        <f>ROUND(AVERAGE(BANDAS!$E$44,BANDAS!$F$44)*20/1,0)*1</f>
        <v/>
      </c>
      <c r="E73" s="16">
        <f>D73*BANDAS!$E$5</f>
        <v/>
      </c>
      <c r="F73" s="12">
        <f>INDEX(BANDAS!$H$9:$H$64,MATCH($B73,BANDAS!$B$9:$B$64,0))</f>
        <v/>
      </c>
      <c r="G73" s="14">
        <f>INDEX(BANDAS!$G$9:$G$64,MATCH($B73,BANDAS!$B$9:$B$64,0))</f>
        <v/>
      </c>
    </row>
    <row r="74" ht="26" customHeight="1">
      <c r="A74" s="8" t="inlineStr">
        <is>
          <t>FITNESS</t>
        </is>
      </c>
      <c r="B74" s="8" t="inlineStr">
        <is>
          <t>Retatrutide</t>
        </is>
      </c>
      <c r="C74" s="9" t="inlineStr">
        <is>
          <t>30 mg</t>
        </is>
      </c>
      <c r="D74" s="15">
        <f>ROUND(AVERAGE(BANDAS!$E$44,BANDAS!$F$44)*30/1,0)*1</f>
        <v/>
      </c>
      <c r="E74" s="16">
        <f>D74*BANDAS!$E$5</f>
        <v/>
      </c>
      <c r="F74" s="12">
        <f>INDEX(BANDAS!$H$9:$H$64,MATCH($B74,BANDAS!$B$9:$B$64,0))</f>
        <v/>
      </c>
      <c r="G74" s="14">
        <f>INDEX(BANDAS!$G$9:$G$64,MATCH($B74,BANDAS!$B$9:$B$64,0))</f>
        <v/>
      </c>
    </row>
    <row r="75" ht="26" customHeight="1">
      <c r="A75" s="8" t="inlineStr">
        <is>
          <t>FITNESS</t>
        </is>
      </c>
      <c r="B75" s="8" t="inlineStr">
        <is>
          <t>Retatrutide</t>
        </is>
      </c>
      <c r="C75" s="9" t="inlineStr">
        <is>
          <t>40 mg</t>
        </is>
      </c>
      <c r="D75" s="15">
        <f>ROUND(AVERAGE(BANDAS!$E$44,BANDAS!$F$44)*40/1,0)*1</f>
        <v/>
      </c>
      <c r="E75" s="16">
        <f>D75*BANDAS!$E$5</f>
        <v/>
      </c>
      <c r="F75" s="12">
        <f>INDEX(BANDAS!$H$9:$H$64,MATCH($B75,BANDAS!$B$9:$B$64,0))</f>
        <v/>
      </c>
      <c r="G75" s="14">
        <f>INDEX(BANDAS!$G$9:$G$64,MATCH($B75,BANDAS!$B$9:$B$64,0))</f>
        <v/>
      </c>
    </row>
    <row r="76" ht="26" customHeight="1">
      <c r="A76" s="8" t="inlineStr">
        <is>
          <t>FITNESS</t>
        </is>
      </c>
      <c r="B76" s="8" t="inlineStr">
        <is>
          <t>Retatrutide</t>
        </is>
      </c>
      <c r="C76" s="9" t="inlineStr">
        <is>
          <t>50 mg</t>
        </is>
      </c>
      <c r="D76" s="15">
        <f>ROUND(AVERAGE(BANDAS!$E$44,BANDAS!$F$44)*50/1,0)*1</f>
        <v/>
      </c>
      <c r="E76" s="16">
        <f>D76*BANDAS!$E$5</f>
        <v/>
      </c>
      <c r="F76" s="12">
        <f>INDEX(BANDAS!$H$9:$H$64,MATCH($B76,BANDAS!$B$9:$B$64,0))</f>
        <v/>
      </c>
      <c r="G76" s="14">
        <f>INDEX(BANDAS!$G$9:$G$64,MATCH($B76,BANDAS!$B$9:$B$64,0))</f>
        <v/>
      </c>
    </row>
    <row r="77" ht="26" customHeight="1">
      <c r="A77" s="8" t="inlineStr">
        <is>
          <t>FITNESS</t>
        </is>
      </c>
      <c r="B77" s="8" t="inlineStr">
        <is>
          <t>Retatrutide</t>
        </is>
      </c>
      <c r="C77" s="9" t="inlineStr">
        <is>
          <t>60 mg</t>
        </is>
      </c>
      <c r="D77" s="15">
        <f>ROUND(AVERAGE(BANDAS!$E$44,BANDAS!$F$44)*60/1,0)*1</f>
        <v/>
      </c>
      <c r="E77" s="16">
        <f>D77*BANDAS!$E$5</f>
        <v/>
      </c>
      <c r="F77" s="12">
        <f>INDEX(BANDAS!$H$9:$H$64,MATCH($B77,BANDAS!$B$9:$B$64,0))</f>
        <v/>
      </c>
      <c r="G77" s="14">
        <f>INDEX(BANDAS!$G$9:$G$64,MATCH($B77,BANDAS!$B$9:$B$64,0))</f>
        <v/>
      </c>
    </row>
    <row r="78" ht="26" customHeight="1">
      <c r="A78" s="8" t="inlineStr">
        <is>
          <t>FITNESS</t>
        </is>
      </c>
      <c r="B78" s="8" t="inlineStr">
        <is>
          <t>SS-31</t>
        </is>
      </c>
      <c r="C78" s="9" t="inlineStr">
        <is>
          <t>10 mg</t>
        </is>
      </c>
      <c r="D78" s="15">
        <f>ROUND(AVERAGE(BANDAS!$E$45,BANDAS!$F$45)*10/1,0)*1</f>
        <v/>
      </c>
      <c r="E78" s="16">
        <f>D78*BANDAS!$E$5</f>
        <v/>
      </c>
      <c r="F78" s="12">
        <f>INDEX(BANDAS!$H$9:$H$64,MATCH($B78,BANDAS!$B$9:$B$64,0))</f>
        <v/>
      </c>
      <c r="G78" s="13">
        <f>INDEX(BANDAS!$G$9:$G$64,MATCH($B78,BANDAS!$B$9:$B$64,0))</f>
        <v/>
      </c>
    </row>
    <row r="79" ht="26" customHeight="1">
      <c r="A79" s="8" t="inlineStr">
        <is>
          <t>FITNESS</t>
        </is>
      </c>
      <c r="B79" s="8" t="inlineStr">
        <is>
          <t>SS-31</t>
        </is>
      </c>
      <c r="C79" s="9" t="inlineStr">
        <is>
          <t>50 mg</t>
        </is>
      </c>
      <c r="D79" s="15">
        <f>ROUND(AVERAGE(BANDAS!$E$45,BANDAS!$F$45)*50/1,0)*1</f>
        <v/>
      </c>
      <c r="E79" s="16">
        <f>D79*BANDAS!$E$5</f>
        <v/>
      </c>
      <c r="F79" s="12">
        <f>INDEX(BANDAS!$H$9:$H$64,MATCH($B79,BANDAS!$B$9:$B$64,0))</f>
        <v/>
      </c>
      <c r="G79" s="13">
        <f>INDEX(BANDAS!$G$9:$G$64,MATCH($B79,BANDAS!$B$9:$B$64,0))</f>
        <v/>
      </c>
    </row>
    <row r="80" ht="26" customHeight="1">
      <c r="A80" s="8" t="inlineStr">
        <is>
          <t>FITNESS</t>
        </is>
      </c>
      <c r="B80" s="8" t="inlineStr">
        <is>
          <t>Semaglutide</t>
        </is>
      </c>
      <c r="C80" s="9" t="inlineStr">
        <is>
          <t>5 mg</t>
        </is>
      </c>
      <c r="D80" s="15">
        <f>ROUND(AVERAGE(BANDAS!$E$46,BANDAS!$F$46)*5/1,0)*1</f>
        <v/>
      </c>
      <c r="E80" s="16">
        <f>D80*BANDAS!$E$5</f>
        <v/>
      </c>
      <c r="F80" s="12">
        <f>INDEX(BANDAS!$H$9:$H$64,MATCH($B80,BANDAS!$B$9:$B$64,0))</f>
        <v/>
      </c>
      <c r="G80" s="14">
        <f>INDEX(BANDAS!$G$9:$G$64,MATCH($B80,BANDAS!$B$9:$B$64,0))</f>
        <v/>
      </c>
    </row>
    <row r="81" ht="26" customHeight="1">
      <c r="A81" s="8" t="inlineStr">
        <is>
          <t>FITNESS</t>
        </is>
      </c>
      <c r="B81" s="8" t="inlineStr">
        <is>
          <t>Semaglutide</t>
        </is>
      </c>
      <c r="C81" s="9" t="inlineStr">
        <is>
          <t>10 mg</t>
        </is>
      </c>
      <c r="D81" s="15">
        <f>ROUND(AVERAGE(BANDAS!$E$46,BANDAS!$F$46)*10/1,0)*1</f>
        <v/>
      </c>
      <c r="E81" s="16">
        <f>D81*BANDAS!$E$5</f>
        <v/>
      </c>
      <c r="F81" s="12">
        <f>INDEX(BANDAS!$H$9:$H$64,MATCH($B81,BANDAS!$B$9:$B$64,0))</f>
        <v/>
      </c>
      <c r="G81" s="14">
        <f>INDEX(BANDAS!$G$9:$G$64,MATCH($B81,BANDAS!$B$9:$B$64,0))</f>
        <v/>
      </c>
    </row>
    <row r="82" ht="26" customHeight="1">
      <c r="A82" s="8" t="inlineStr">
        <is>
          <t>FITNESS</t>
        </is>
      </c>
      <c r="B82" s="8" t="inlineStr">
        <is>
          <t>Semaglutide</t>
        </is>
      </c>
      <c r="C82" s="9" t="inlineStr">
        <is>
          <t>15 mg</t>
        </is>
      </c>
      <c r="D82" s="15">
        <f>ROUND(AVERAGE(BANDAS!$E$46,BANDAS!$F$46)*15/1,0)*1</f>
        <v/>
      </c>
      <c r="E82" s="16">
        <f>D82*BANDAS!$E$5</f>
        <v/>
      </c>
      <c r="F82" s="12">
        <f>INDEX(BANDAS!$H$9:$H$64,MATCH($B82,BANDAS!$B$9:$B$64,0))</f>
        <v/>
      </c>
      <c r="G82" s="14">
        <f>INDEX(BANDAS!$G$9:$G$64,MATCH($B82,BANDAS!$B$9:$B$64,0))</f>
        <v/>
      </c>
    </row>
    <row r="83" ht="26" customHeight="1">
      <c r="A83" s="8" t="inlineStr">
        <is>
          <t>FITNESS</t>
        </is>
      </c>
      <c r="B83" s="8" t="inlineStr">
        <is>
          <t>Semaglutide</t>
        </is>
      </c>
      <c r="C83" s="9" t="inlineStr">
        <is>
          <t>20 mg</t>
        </is>
      </c>
      <c r="D83" s="15">
        <f>ROUND(AVERAGE(BANDAS!$E$46,BANDAS!$F$46)*20/1,0)*1</f>
        <v/>
      </c>
      <c r="E83" s="16">
        <f>D83*BANDAS!$E$5</f>
        <v/>
      </c>
      <c r="F83" s="12">
        <f>INDEX(BANDAS!$H$9:$H$64,MATCH($B83,BANDAS!$B$9:$B$64,0))</f>
        <v/>
      </c>
      <c r="G83" s="14">
        <f>INDEX(BANDAS!$G$9:$G$64,MATCH($B83,BANDAS!$B$9:$B$64,0))</f>
        <v/>
      </c>
    </row>
    <row r="84" ht="26" customHeight="1">
      <c r="A84" s="8" t="inlineStr">
        <is>
          <t>FITNESS</t>
        </is>
      </c>
      <c r="B84" s="8" t="inlineStr">
        <is>
          <t>Semaglutide</t>
        </is>
      </c>
      <c r="C84" s="9" t="inlineStr">
        <is>
          <t>30 mg</t>
        </is>
      </c>
      <c r="D84" s="15">
        <f>ROUND(AVERAGE(BANDAS!$E$46,BANDAS!$F$46)*30/1,0)*1</f>
        <v/>
      </c>
      <c r="E84" s="16">
        <f>D84*BANDAS!$E$5</f>
        <v/>
      </c>
      <c r="F84" s="12">
        <f>INDEX(BANDAS!$H$9:$H$64,MATCH($B84,BANDAS!$B$9:$B$64,0))</f>
        <v/>
      </c>
      <c r="G84" s="14">
        <f>INDEX(BANDAS!$G$9:$G$64,MATCH($B84,BANDAS!$B$9:$B$64,0))</f>
        <v/>
      </c>
    </row>
    <row r="85" ht="26" customHeight="1">
      <c r="A85" s="8" t="inlineStr">
        <is>
          <t>FITNESS</t>
        </is>
      </c>
      <c r="B85" s="8" t="inlineStr">
        <is>
          <t>Sermorelin</t>
        </is>
      </c>
      <c r="C85" s="9" t="inlineStr">
        <is>
          <t>5 mg</t>
        </is>
      </c>
      <c r="D85" s="15">
        <f>ROUND(AVERAGE(BANDAS!$E$47,BANDAS!$F$47)*5/1,0)*1</f>
        <v/>
      </c>
      <c r="E85" s="16">
        <f>D85*BANDAS!$E$5</f>
        <v/>
      </c>
      <c r="F85" s="12">
        <f>INDEX(BANDAS!$H$9:$H$64,MATCH($B85,BANDAS!$B$9:$B$64,0))</f>
        <v/>
      </c>
      <c r="G85" s="13">
        <f>INDEX(BANDAS!$G$9:$G$64,MATCH($B85,BANDAS!$B$9:$B$64,0))</f>
        <v/>
      </c>
    </row>
    <row r="86" ht="26" customHeight="1">
      <c r="A86" s="8" t="inlineStr">
        <is>
          <t>FITNESS</t>
        </is>
      </c>
      <c r="B86" s="8" t="inlineStr">
        <is>
          <t>Sermorelin</t>
        </is>
      </c>
      <c r="C86" s="9" t="inlineStr">
        <is>
          <t>10 mg</t>
        </is>
      </c>
      <c r="D86" s="15">
        <f>ROUND(AVERAGE(BANDAS!$E$47,BANDAS!$F$47)*10/1,0)*1</f>
        <v/>
      </c>
      <c r="E86" s="16">
        <f>D86*BANDAS!$E$5</f>
        <v/>
      </c>
      <c r="F86" s="12">
        <f>INDEX(BANDAS!$H$9:$H$64,MATCH($B86,BANDAS!$B$9:$B$64,0))</f>
        <v/>
      </c>
      <c r="G86" s="13">
        <f>INDEX(BANDAS!$G$9:$G$64,MATCH($B86,BANDAS!$B$9:$B$64,0))</f>
        <v/>
      </c>
    </row>
    <row r="87" ht="26" customHeight="1">
      <c r="A87" s="8" t="inlineStr">
        <is>
          <t>FITNESS</t>
        </is>
      </c>
      <c r="B87" s="8" t="inlineStr">
        <is>
          <t>TB-500</t>
        </is>
      </c>
      <c r="C87" s="9" t="inlineStr">
        <is>
          <t>5 mg</t>
        </is>
      </c>
      <c r="D87" s="15">
        <f>ROUND(AVERAGE(BANDAS!$E$48,BANDAS!$F$48)*5/1,0)*1</f>
        <v/>
      </c>
      <c r="E87" s="16">
        <f>D87*BANDAS!$E$5</f>
        <v/>
      </c>
      <c r="F87" s="12">
        <f>INDEX(BANDAS!$H$9:$H$64,MATCH($B87,BANDAS!$B$9:$B$64,0))</f>
        <v/>
      </c>
      <c r="G87" s="14">
        <f>INDEX(BANDAS!$G$9:$G$64,MATCH($B87,BANDAS!$B$9:$B$64,0))</f>
        <v/>
      </c>
    </row>
    <row r="88" ht="26" customHeight="1">
      <c r="A88" s="8" t="inlineStr">
        <is>
          <t>FITNESS</t>
        </is>
      </c>
      <c r="B88" s="8" t="inlineStr">
        <is>
          <t>TB-500</t>
        </is>
      </c>
      <c r="C88" s="9" t="inlineStr">
        <is>
          <t>10 mg</t>
        </is>
      </c>
      <c r="D88" s="15">
        <f>ROUND(AVERAGE(BANDAS!$E$48,BANDAS!$F$48)*10/1,0)*1</f>
        <v/>
      </c>
      <c r="E88" s="16">
        <f>D88*BANDAS!$E$5</f>
        <v/>
      </c>
      <c r="F88" s="12">
        <f>INDEX(BANDAS!$H$9:$H$64,MATCH($B88,BANDAS!$B$9:$B$64,0))</f>
        <v/>
      </c>
      <c r="G88" s="14">
        <f>INDEX(BANDAS!$G$9:$G$64,MATCH($B88,BANDAS!$B$9:$B$64,0))</f>
        <v/>
      </c>
    </row>
    <row r="89" ht="26" customHeight="1">
      <c r="A89" s="8" t="inlineStr">
        <is>
          <t>FITNESS</t>
        </is>
      </c>
      <c r="B89" s="8" t="inlineStr">
        <is>
          <t>Tesamorelin</t>
        </is>
      </c>
      <c r="C89" s="9" t="inlineStr">
        <is>
          <t>5 mg</t>
        </is>
      </c>
      <c r="D89" s="15">
        <f>ROUND(AVERAGE(BANDAS!$E$49,BANDAS!$F$49)*5/1,0)*1</f>
        <v/>
      </c>
      <c r="E89" s="16">
        <f>D89*BANDAS!$E$5</f>
        <v/>
      </c>
      <c r="F89" s="12">
        <f>INDEX(BANDAS!$H$9:$H$64,MATCH($B89,BANDAS!$B$9:$B$64,0))</f>
        <v/>
      </c>
      <c r="G89" s="13">
        <f>INDEX(BANDAS!$G$9:$G$64,MATCH($B89,BANDAS!$B$9:$B$64,0))</f>
        <v/>
      </c>
    </row>
    <row r="90" ht="26" customHeight="1">
      <c r="A90" s="8" t="inlineStr">
        <is>
          <t>FITNESS</t>
        </is>
      </c>
      <c r="B90" s="8" t="inlineStr">
        <is>
          <t>Tesamorelin</t>
        </is>
      </c>
      <c r="C90" s="9" t="inlineStr">
        <is>
          <t>10 mg</t>
        </is>
      </c>
      <c r="D90" s="15">
        <f>ROUND(AVERAGE(BANDAS!$E$49,BANDAS!$F$49)*10/1,0)*1</f>
        <v/>
      </c>
      <c r="E90" s="16">
        <f>D90*BANDAS!$E$5</f>
        <v/>
      </c>
      <c r="F90" s="12">
        <f>INDEX(BANDAS!$H$9:$H$64,MATCH($B90,BANDAS!$B$9:$B$64,0))</f>
        <v/>
      </c>
      <c r="G90" s="13">
        <f>INDEX(BANDAS!$G$9:$G$64,MATCH($B90,BANDAS!$B$9:$B$64,0))</f>
        <v/>
      </c>
    </row>
    <row r="91" ht="26" customHeight="1">
      <c r="A91" s="8" t="inlineStr">
        <is>
          <t>FITNESS</t>
        </is>
      </c>
      <c r="B91" s="8" t="inlineStr">
        <is>
          <t>Tesamorelin</t>
        </is>
      </c>
      <c r="C91" s="9" t="inlineStr">
        <is>
          <t>20 mg</t>
        </is>
      </c>
      <c r="D91" s="15">
        <f>ROUND(AVERAGE(BANDAS!$E$49,BANDAS!$F$49)*20/1,0)*1</f>
        <v/>
      </c>
      <c r="E91" s="16">
        <f>D91*BANDAS!$E$5</f>
        <v/>
      </c>
      <c r="F91" s="12">
        <f>INDEX(BANDAS!$H$9:$H$64,MATCH($B91,BANDAS!$B$9:$B$64,0))</f>
        <v/>
      </c>
      <c r="G91" s="13">
        <f>INDEX(BANDAS!$G$9:$G$64,MATCH($B91,BANDAS!$B$9:$B$64,0))</f>
        <v/>
      </c>
    </row>
    <row r="92" ht="26" customHeight="1">
      <c r="A92" s="8" t="inlineStr">
        <is>
          <t>FITNESS</t>
        </is>
      </c>
      <c r="B92" s="8" t="inlineStr">
        <is>
          <t>Tirzepatide</t>
        </is>
      </c>
      <c r="C92" s="9" t="inlineStr">
        <is>
          <t>5 mg</t>
        </is>
      </c>
      <c r="D92" s="15">
        <f>ROUND(AVERAGE(BANDAS!$E$50,BANDAS!$F$50)*5/1,0)*1</f>
        <v/>
      </c>
      <c r="E92" s="16">
        <f>D92*BANDAS!$E$5</f>
        <v/>
      </c>
      <c r="F92" s="12">
        <f>INDEX(BANDAS!$H$9:$H$64,MATCH($B92,BANDAS!$B$9:$B$64,0))</f>
        <v/>
      </c>
      <c r="G92" s="14">
        <f>INDEX(BANDAS!$G$9:$G$64,MATCH($B92,BANDAS!$B$9:$B$64,0))</f>
        <v/>
      </c>
    </row>
    <row r="93" ht="26" customHeight="1">
      <c r="A93" s="8" t="inlineStr">
        <is>
          <t>FITNESS</t>
        </is>
      </c>
      <c r="B93" s="8" t="inlineStr">
        <is>
          <t>Tirzepatide</t>
        </is>
      </c>
      <c r="C93" s="9" t="inlineStr">
        <is>
          <t>10 mg</t>
        </is>
      </c>
      <c r="D93" s="15">
        <f>ROUND(AVERAGE(BANDAS!$E$50,BANDAS!$F$50)*10/1,0)*1</f>
        <v/>
      </c>
      <c r="E93" s="16">
        <f>D93*BANDAS!$E$5</f>
        <v/>
      </c>
      <c r="F93" s="12">
        <f>INDEX(BANDAS!$H$9:$H$64,MATCH($B93,BANDAS!$B$9:$B$64,0))</f>
        <v/>
      </c>
      <c r="G93" s="14">
        <f>INDEX(BANDAS!$G$9:$G$64,MATCH($B93,BANDAS!$B$9:$B$64,0))</f>
        <v/>
      </c>
    </row>
    <row r="94" ht="26" customHeight="1">
      <c r="A94" s="8" t="inlineStr">
        <is>
          <t>FITNESS</t>
        </is>
      </c>
      <c r="B94" s="8" t="inlineStr">
        <is>
          <t>Tirzepatide</t>
        </is>
      </c>
      <c r="C94" s="9" t="inlineStr">
        <is>
          <t>15 mg</t>
        </is>
      </c>
      <c r="D94" s="15">
        <f>ROUND(AVERAGE(BANDAS!$E$50,BANDAS!$F$50)*15/1,0)*1</f>
        <v/>
      </c>
      <c r="E94" s="16">
        <f>D94*BANDAS!$E$5</f>
        <v/>
      </c>
      <c r="F94" s="12">
        <f>INDEX(BANDAS!$H$9:$H$64,MATCH($B94,BANDAS!$B$9:$B$64,0))</f>
        <v/>
      </c>
      <c r="G94" s="14">
        <f>INDEX(BANDAS!$G$9:$G$64,MATCH($B94,BANDAS!$B$9:$B$64,0))</f>
        <v/>
      </c>
    </row>
    <row r="95" ht="26" customHeight="1">
      <c r="A95" s="8" t="inlineStr">
        <is>
          <t>FITNESS</t>
        </is>
      </c>
      <c r="B95" s="8" t="inlineStr">
        <is>
          <t>Tirzepatide</t>
        </is>
      </c>
      <c r="C95" s="9" t="inlineStr">
        <is>
          <t>20 mg</t>
        </is>
      </c>
      <c r="D95" s="15">
        <f>ROUND(AVERAGE(BANDAS!$E$50,BANDAS!$F$50)*20/1,0)*1</f>
        <v/>
      </c>
      <c r="E95" s="16">
        <f>D95*BANDAS!$E$5</f>
        <v/>
      </c>
      <c r="F95" s="12">
        <f>INDEX(BANDAS!$H$9:$H$64,MATCH($B95,BANDAS!$B$9:$B$64,0))</f>
        <v/>
      </c>
      <c r="G95" s="14">
        <f>INDEX(BANDAS!$G$9:$G$64,MATCH($B95,BANDAS!$B$9:$B$64,0))</f>
        <v/>
      </c>
    </row>
    <row r="96" ht="26" customHeight="1">
      <c r="A96" s="8" t="inlineStr">
        <is>
          <t>FITNESS</t>
        </is>
      </c>
      <c r="B96" s="8" t="inlineStr">
        <is>
          <t>Tirzepatide</t>
        </is>
      </c>
      <c r="C96" s="9" t="inlineStr">
        <is>
          <t>30 mg</t>
        </is>
      </c>
      <c r="D96" s="15">
        <f>ROUND(AVERAGE(BANDAS!$E$50,BANDAS!$F$50)*30/1,0)*1</f>
        <v/>
      </c>
      <c r="E96" s="16">
        <f>D96*BANDAS!$E$5</f>
        <v/>
      </c>
      <c r="F96" s="12">
        <f>INDEX(BANDAS!$H$9:$H$64,MATCH($B96,BANDAS!$B$9:$B$64,0))</f>
        <v/>
      </c>
      <c r="G96" s="14">
        <f>INDEX(BANDAS!$G$9:$G$64,MATCH($B96,BANDAS!$B$9:$B$64,0))</f>
        <v/>
      </c>
    </row>
    <row r="97" ht="26" customHeight="1">
      <c r="A97" s="8" t="inlineStr">
        <is>
          <t>FITNESS</t>
        </is>
      </c>
      <c r="B97" s="8" t="inlineStr">
        <is>
          <t>Tirzepatide</t>
        </is>
      </c>
      <c r="C97" s="9" t="inlineStr">
        <is>
          <t>40 mg</t>
        </is>
      </c>
      <c r="D97" s="15">
        <f>ROUND(AVERAGE(BANDAS!$E$50,BANDAS!$F$50)*40/1,0)*1</f>
        <v/>
      </c>
      <c r="E97" s="16">
        <f>D97*BANDAS!$E$5</f>
        <v/>
      </c>
      <c r="F97" s="12">
        <f>INDEX(BANDAS!$H$9:$H$64,MATCH($B97,BANDAS!$B$9:$B$64,0))</f>
        <v/>
      </c>
      <c r="G97" s="14">
        <f>INDEX(BANDAS!$G$9:$G$64,MATCH($B97,BANDAS!$B$9:$B$64,0))</f>
        <v/>
      </c>
    </row>
    <row r="98" ht="26" customHeight="1">
      <c r="A98" s="8" t="inlineStr">
        <is>
          <t>FITNESS</t>
        </is>
      </c>
      <c r="B98" s="8" t="inlineStr">
        <is>
          <t>Tirzepatide</t>
        </is>
      </c>
      <c r="C98" s="9" t="inlineStr">
        <is>
          <t>50 mg</t>
        </is>
      </c>
      <c r="D98" s="15">
        <f>ROUND(AVERAGE(BANDAS!$E$50,BANDAS!$F$50)*50/1,0)*1</f>
        <v/>
      </c>
      <c r="E98" s="16">
        <f>D98*BANDAS!$E$5</f>
        <v/>
      </c>
      <c r="F98" s="12">
        <f>INDEX(BANDAS!$H$9:$H$64,MATCH($B98,BANDAS!$B$9:$B$64,0))</f>
        <v/>
      </c>
      <c r="G98" s="14">
        <f>INDEX(BANDAS!$G$9:$G$64,MATCH($B98,BANDAS!$B$9:$B$64,0))</f>
        <v/>
      </c>
    </row>
    <row r="99" ht="26" customHeight="1">
      <c r="A99" s="8" t="inlineStr">
        <is>
          <t>FITNESS</t>
        </is>
      </c>
      <c r="B99" s="8" t="inlineStr">
        <is>
          <t>Tirzepatide</t>
        </is>
      </c>
      <c r="C99" s="9" t="inlineStr">
        <is>
          <t>60 mg</t>
        </is>
      </c>
      <c r="D99" s="15">
        <f>ROUND(AVERAGE(BANDAS!$E$50,BANDAS!$F$50)*60/1,0)*1</f>
        <v/>
      </c>
      <c r="E99" s="16">
        <f>D99*BANDAS!$E$5</f>
        <v/>
      </c>
      <c r="F99" s="12">
        <f>INDEX(BANDAS!$H$9:$H$64,MATCH($B99,BANDAS!$B$9:$B$64,0))</f>
        <v/>
      </c>
      <c r="G99" s="14">
        <f>INDEX(BANDAS!$G$9:$G$64,MATCH($B99,BANDAS!$B$9:$B$64,0))</f>
        <v/>
      </c>
    </row>
    <row r="100" ht="26" customHeight="1">
      <c r="A100" s="8" t="inlineStr">
        <is>
          <t>LONGEVITY</t>
        </is>
      </c>
      <c r="B100" s="8" t="inlineStr">
        <is>
          <t>Cartalax</t>
        </is>
      </c>
      <c r="C100" s="9" t="inlineStr">
        <is>
          <t>20 mg</t>
        </is>
      </c>
      <c r="D100" s="15">
        <f>ROUND(AVERAGE(BANDAS!$E$51,BANDAS!$F$51)*20/1,0)*1</f>
        <v/>
      </c>
      <c r="E100" s="16">
        <f>D100*BANDAS!$E$5</f>
        <v/>
      </c>
      <c r="F100" s="12">
        <f>INDEX(BANDAS!$H$9:$H$64,MATCH($B100,BANDAS!$B$9:$B$64,0))</f>
        <v/>
      </c>
      <c r="G100" s="13">
        <f>INDEX(BANDAS!$G$9:$G$64,MATCH($B100,BANDAS!$B$9:$B$64,0))</f>
        <v/>
      </c>
    </row>
    <row r="101" ht="26" customHeight="1">
      <c r="A101" s="8" t="inlineStr">
        <is>
          <t>LONGEVITY</t>
        </is>
      </c>
      <c r="B101" s="8" t="inlineStr">
        <is>
          <t>DSIP</t>
        </is>
      </c>
      <c r="C101" s="9" t="inlineStr">
        <is>
          <t>5 mg</t>
        </is>
      </c>
      <c r="D101" s="15">
        <f>ROUND(AVERAGE(BANDAS!$E$52,BANDAS!$F$52)*5/1,0)*1</f>
        <v/>
      </c>
      <c r="E101" s="16">
        <f>D101*BANDAS!$E$5</f>
        <v/>
      </c>
      <c r="F101" s="12">
        <f>INDEX(BANDAS!$H$9:$H$64,MATCH($B101,BANDAS!$B$9:$B$64,0))</f>
        <v/>
      </c>
      <c r="G101" s="13">
        <f>INDEX(BANDAS!$G$9:$G$64,MATCH($B101,BANDAS!$B$9:$B$64,0))</f>
        <v/>
      </c>
    </row>
    <row r="102" ht="26" customHeight="1">
      <c r="A102" s="8" t="inlineStr">
        <is>
          <t>LONGEVITY</t>
        </is>
      </c>
      <c r="B102" s="8" t="inlineStr">
        <is>
          <t>DSIP</t>
        </is>
      </c>
      <c r="C102" s="9" t="inlineStr">
        <is>
          <t>10 mg</t>
        </is>
      </c>
      <c r="D102" s="15">
        <f>ROUND(AVERAGE(BANDAS!$E$52,BANDAS!$F$52)*10/1,0)*1</f>
        <v/>
      </c>
      <c r="E102" s="16">
        <f>D102*BANDAS!$E$5</f>
        <v/>
      </c>
      <c r="F102" s="12">
        <f>INDEX(BANDAS!$H$9:$H$64,MATCH($B102,BANDAS!$B$9:$B$64,0))</f>
        <v/>
      </c>
      <c r="G102" s="13">
        <f>INDEX(BANDAS!$G$9:$G$64,MATCH($B102,BANDAS!$B$9:$B$64,0))</f>
        <v/>
      </c>
    </row>
    <row r="103" ht="26" customHeight="1">
      <c r="A103" s="8" t="inlineStr">
        <is>
          <t>LONGEVITY</t>
        </is>
      </c>
      <c r="B103" s="8" t="inlineStr">
        <is>
          <t>DSIP</t>
        </is>
      </c>
      <c r="C103" s="9" t="inlineStr">
        <is>
          <t>12 mg</t>
        </is>
      </c>
      <c r="D103" s="15">
        <f>ROUND(AVERAGE(BANDAS!$E$52,BANDAS!$F$52)*12/1,0)*1</f>
        <v/>
      </c>
      <c r="E103" s="16">
        <f>D103*BANDAS!$E$5</f>
        <v/>
      </c>
      <c r="F103" s="12">
        <f>INDEX(BANDAS!$H$9:$H$64,MATCH($B103,BANDAS!$B$9:$B$64,0))</f>
        <v/>
      </c>
      <c r="G103" s="13">
        <f>INDEX(BANDAS!$G$9:$G$64,MATCH($B103,BANDAS!$B$9:$B$64,0))</f>
        <v/>
      </c>
    </row>
    <row r="104" ht="26" customHeight="1">
      <c r="A104" s="8" t="inlineStr">
        <is>
          <t>LONGEVITY</t>
        </is>
      </c>
      <c r="B104" s="8" t="inlineStr">
        <is>
          <t>Dihexa</t>
        </is>
      </c>
      <c r="C104" s="9" t="inlineStr">
        <is>
          <t>5 mg</t>
        </is>
      </c>
      <c r="D104" s="15">
        <f>ROUND(AVERAGE(BANDAS!$E$53,BANDAS!$F$53)*5/1,0)*1</f>
        <v/>
      </c>
      <c r="E104" s="16">
        <f>D104*BANDAS!$E$5</f>
        <v/>
      </c>
      <c r="F104" s="12">
        <f>INDEX(BANDAS!$H$9:$H$64,MATCH($B104,BANDAS!$B$9:$B$64,0))</f>
        <v/>
      </c>
      <c r="G104" s="13">
        <f>INDEX(BANDAS!$G$9:$G$64,MATCH($B104,BANDAS!$B$9:$B$64,0))</f>
        <v/>
      </c>
    </row>
    <row r="105" ht="26" customHeight="1">
      <c r="A105" s="8" t="inlineStr">
        <is>
          <t>LONGEVITY</t>
        </is>
      </c>
      <c r="B105" s="8" t="inlineStr">
        <is>
          <t>Dihexa</t>
        </is>
      </c>
      <c r="C105" s="9" t="inlineStr">
        <is>
          <t>10 mg</t>
        </is>
      </c>
      <c r="D105" s="15">
        <f>ROUND(AVERAGE(BANDAS!$E$53,BANDAS!$F$53)*10/1,0)*1</f>
        <v/>
      </c>
      <c r="E105" s="16">
        <f>D105*BANDAS!$E$5</f>
        <v/>
      </c>
      <c r="F105" s="12">
        <f>INDEX(BANDAS!$H$9:$H$64,MATCH($B105,BANDAS!$B$9:$B$64,0))</f>
        <v/>
      </c>
      <c r="G105" s="13">
        <f>INDEX(BANDAS!$G$9:$G$64,MATCH($B105,BANDAS!$B$9:$B$64,0))</f>
        <v/>
      </c>
    </row>
    <row r="106" ht="26" customHeight="1">
      <c r="A106" s="8" t="inlineStr">
        <is>
          <t>LONGEVITY</t>
        </is>
      </c>
      <c r="B106" s="8" t="inlineStr">
        <is>
          <t>Epithalon</t>
        </is>
      </c>
      <c r="C106" s="9" t="inlineStr">
        <is>
          <t>10 mg</t>
        </is>
      </c>
      <c r="D106" s="15">
        <f>ROUND(AVERAGE(BANDAS!$E$54,BANDAS!$F$54)*10/1,0)*1</f>
        <v/>
      </c>
      <c r="E106" s="16">
        <f>D106*BANDAS!$E$5</f>
        <v/>
      </c>
      <c r="F106" s="12">
        <f>INDEX(BANDAS!$H$9:$H$64,MATCH($B106,BANDAS!$B$9:$B$64,0))</f>
        <v/>
      </c>
      <c r="G106" s="14">
        <f>INDEX(BANDAS!$G$9:$G$64,MATCH($B106,BANDAS!$B$9:$B$64,0))</f>
        <v/>
      </c>
    </row>
    <row r="107" ht="26" customHeight="1">
      <c r="A107" s="8" t="inlineStr">
        <is>
          <t>LONGEVITY</t>
        </is>
      </c>
      <c r="B107" s="8" t="inlineStr">
        <is>
          <t>Epithalon</t>
        </is>
      </c>
      <c r="C107" s="9" t="inlineStr">
        <is>
          <t>50 mg</t>
        </is>
      </c>
      <c r="D107" s="15">
        <f>ROUND(AVERAGE(BANDAS!$E$54,BANDAS!$F$54)*50/1,0)*1</f>
        <v/>
      </c>
      <c r="E107" s="16">
        <f>D107*BANDAS!$E$5</f>
        <v/>
      </c>
      <c r="F107" s="12">
        <f>INDEX(BANDAS!$H$9:$H$64,MATCH($B107,BANDAS!$B$9:$B$64,0))</f>
        <v/>
      </c>
      <c r="G107" s="14">
        <f>INDEX(BANDAS!$G$9:$G$64,MATCH($B107,BANDAS!$B$9:$B$64,0))</f>
        <v/>
      </c>
    </row>
    <row r="108" ht="26" customHeight="1">
      <c r="A108" s="8" t="inlineStr">
        <is>
          <t>LONGEVITY</t>
        </is>
      </c>
      <c r="B108" s="8" t="inlineStr">
        <is>
          <t>FOXO4-DRI</t>
        </is>
      </c>
      <c r="C108" s="9" t="inlineStr">
        <is>
          <t>2 mg</t>
        </is>
      </c>
      <c r="D108" s="15">
        <f>ROUND(AVERAGE(BANDAS!$E$55,BANDAS!$F$55)*2/1,0)*1</f>
        <v/>
      </c>
      <c r="E108" s="16">
        <f>D108*BANDAS!$E$5</f>
        <v/>
      </c>
      <c r="F108" s="12">
        <f>INDEX(BANDAS!$H$9:$H$64,MATCH($B108,BANDAS!$B$9:$B$64,0))</f>
        <v/>
      </c>
      <c r="G108" s="13">
        <f>INDEX(BANDAS!$G$9:$G$64,MATCH($B108,BANDAS!$B$9:$B$64,0))</f>
        <v/>
      </c>
    </row>
    <row r="109" ht="26" customHeight="1">
      <c r="A109" s="8" t="inlineStr">
        <is>
          <t>LONGEVITY</t>
        </is>
      </c>
      <c r="B109" s="8" t="inlineStr">
        <is>
          <t>KissPeptin-10</t>
        </is>
      </c>
      <c r="C109" s="9" t="inlineStr">
        <is>
          <t>5 mg</t>
        </is>
      </c>
      <c r="D109" s="15">
        <f>ROUND(AVERAGE(BANDAS!$E$56,BANDAS!$F$56)*5/1,0)*1</f>
        <v/>
      </c>
      <c r="E109" s="16">
        <f>D109*BANDAS!$E$5</f>
        <v/>
      </c>
      <c r="F109" s="12">
        <f>INDEX(BANDAS!$H$9:$H$64,MATCH($B109,BANDAS!$B$9:$B$64,0))</f>
        <v/>
      </c>
      <c r="G109" s="13">
        <f>INDEX(BANDAS!$G$9:$G$64,MATCH($B109,BANDAS!$B$9:$B$64,0))</f>
        <v/>
      </c>
    </row>
    <row r="110" ht="26" customHeight="1">
      <c r="A110" s="8" t="inlineStr">
        <is>
          <t>LONGEVITY</t>
        </is>
      </c>
      <c r="B110" s="8" t="inlineStr">
        <is>
          <t>KissPeptin-10</t>
        </is>
      </c>
      <c r="C110" s="9" t="inlineStr">
        <is>
          <t>10 mg</t>
        </is>
      </c>
      <c r="D110" s="15">
        <f>ROUND(AVERAGE(BANDAS!$E$56,BANDAS!$F$56)*10/1,0)*1</f>
        <v/>
      </c>
      <c r="E110" s="16">
        <f>D110*BANDAS!$E$5</f>
        <v/>
      </c>
      <c r="F110" s="12">
        <f>INDEX(BANDAS!$H$9:$H$64,MATCH($B110,BANDAS!$B$9:$B$64,0))</f>
        <v/>
      </c>
      <c r="G110" s="13">
        <f>INDEX(BANDAS!$G$9:$G$64,MATCH($B110,BANDAS!$B$9:$B$64,0))</f>
        <v/>
      </c>
    </row>
    <row r="111" ht="26" customHeight="1">
      <c r="A111" s="8" t="inlineStr">
        <is>
          <t>LONGEVITY</t>
        </is>
      </c>
      <c r="B111" s="8" t="inlineStr">
        <is>
          <t>Melatonin</t>
        </is>
      </c>
      <c r="C111" s="9" t="inlineStr">
        <is>
          <t>10 mg</t>
        </is>
      </c>
      <c r="D111" s="15">
        <f>ROUND(AVERAGE(BANDAS!$E$57,BANDAS!$F$57)*10/1,0)*1</f>
        <v/>
      </c>
      <c r="E111" s="16">
        <f>D111*BANDAS!$E$5</f>
        <v/>
      </c>
      <c r="F111" s="12">
        <f>INDEX(BANDAS!$H$9:$H$64,MATCH($B111,BANDAS!$B$9:$B$64,0))</f>
        <v/>
      </c>
      <c r="G111" s="13">
        <f>INDEX(BANDAS!$G$9:$G$64,MATCH($B111,BANDAS!$B$9:$B$64,0))</f>
        <v/>
      </c>
    </row>
    <row r="112" ht="26" customHeight="1">
      <c r="A112" s="8" t="inlineStr">
        <is>
          <t>LONGEVITY</t>
        </is>
      </c>
      <c r="B112" s="8" t="inlineStr">
        <is>
          <t>NAD+</t>
        </is>
      </c>
      <c r="C112" s="9" t="inlineStr">
        <is>
          <t>100 mg</t>
        </is>
      </c>
      <c r="D112" s="15">
        <f>ROUND(AVERAGE(BANDAS!$E$58,BANDAS!$F$58)*100/1,0)*1</f>
        <v/>
      </c>
      <c r="E112" s="16">
        <f>D112*BANDAS!$E$5</f>
        <v/>
      </c>
      <c r="F112" s="12">
        <f>INDEX(BANDAS!$H$9:$H$64,MATCH($B112,BANDAS!$B$9:$B$64,0))</f>
        <v/>
      </c>
      <c r="G112" s="14">
        <f>INDEX(BANDAS!$G$9:$G$64,MATCH($B112,BANDAS!$B$9:$B$64,0))</f>
        <v/>
      </c>
    </row>
    <row r="113" ht="26" customHeight="1">
      <c r="A113" s="8" t="inlineStr">
        <is>
          <t>LONGEVITY</t>
        </is>
      </c>
      <c r="B113" s="8" t="inlineStr">
        <is>
          <t>NAD+</t>
        </is>
      </c>
      <c r="C113" s="9" t="inlineStr">
        <is>
          <t>500 mg</t>
        </is>
      </c>
      <c r="D113" s="15">
        <f>ROUND(AVERAGE(BANDAS!$E$58,BANDAS!$F$58)*500/1,0)*1</f>
        <v/>
      </c>
      <c r="E113" s="16">
        <f>D113*BANDAS!$E$5</f>
        <v/>
      </c>
      <c r="F113" s="12">
        <f>INDEX(BANDAS!$H$9:$H$64,MATCH($B113,BANDAS!$B$9:$B$64,0))</f>
        <v/>
      </c>
      <c r="G113" s="14">
        <f>INDEX(BANDAS!$G$9:$G$64,MATCH($B113,BANDAS!$B$9:$B$64,0))</f>
        <v/>
      </c>
    </row>
    <row r="114" ht="26" customHeight="1">
      <c r="A114" s="8" t="inlineStr">
        <is>
          <t>LONGEVITY</t>
        </is>
      </c>
      <c r="B114" s="8" t="inlineStr">
        <is>
          <t>NAD+</t>
        </is>
      </c>
      <c r="C114" s="9" t="inlineStr">
        <is>
          <t>1000 mg</t>
        </is>
      </c>
      <c r="D114" s="15">
        <f>ROUND(AVERAGE(BANDAS!$E$58,BANDAS!$F$58)*1000/1,0)*1</f>
        <v/>
      </c>
      <c r="E114" s="16">
        <f>D114*BANDAS!$E$5</f>
        <v/>
      </c>
      <c r="F114" s="12">
        <f>INDEX(BANDAS!$H$9:$H$64,MATCH($B114,BANDAS!$B$9:$B$64,0))</f>
        <v/>
      </c>
      <c r="G114" s="14">
        <f>INDEX(BANDAS!$G$9:$G$64,MATCH($B114,BANDAS!$B$9:$B$64,0))</f>
        <v/>
      </c>
    </row>
    <row r="115" ht="26" customHeight="1">
      <c r="A115" s="8" t="inlineStr">
        <is>
          <t>LONGEVITY</t>
        </is>
      </c>
      <c r="B115" s="8" t="inlineStr">
        <is>
          <t>Pinealon</t>
        </is>
      </c>
      <c r="C115" s="9" t="inlineStr">
        <is>
          <t>10 mg</t>
        </is>
      </c>
      <c r="D115" s="15">
        <f>ROUND(AVERAGE(BANDAS!$E$59,BANDAS!$F$59)*10/1,0)*1</f>
        <v/>
      </c>
      <c r="E115" s="16">
        <f>D115*BANDAS!$E$5</f>
        <v/>
      </c>
      <c r="F115" s="12">
        <f>INDEX(BANDAS!$H$9:$H$64,MATCH($B115,BANDAS!$B$9:$B$64,0))</f>
        <v/>
      </c>
      <c r="G115" s="13">
        <f>INDEX(BANDAS!$G$9:$G$64,MATCH($B115,BANDAS!$B$9:$B$64,0))</f>
        <v/>
      </c>
    </row>
    <row r="116" ht="26" customHeight="1">
      <c r="A116" s="8" t="inlineStr">
        <is>
          <t>LONGEVITY</t>
        </is>
      </c>
      <c r="B116" s="8" t="inlineStr">
        <is>
          <t>Selank</t>
        </is>
      </c>
      <c r="C116" s="9" t="inlineStr">
        <is>
          <t>5 mg</t>
        </is>
      </c>
      <c r="D116" s="15">
        <f>ROUND(AVERAGE(BANDAS!$E$60,BANDAS!$F$60)*5/1,0)*1</f>
        <v/>
      </c>
      <c r="E116" s="16">
        <f>D116*BANDAS!$E$5</f>
        <v/>
      </c>
      <c r="F116" s="12">
        <f>INDEX(BANDAS!$H$9:$H$64,MATCH($B116,BANDAS!$B$9:$B$64,0))</f>
        <v/>
      </c>
      <c r="G116" s="13">
        <f>INDEX(BANDAS!$G$9:$G$64,MATCH($B116,BANDAS!$B$9:$B$64,0))</f>
        <v/>
      </c>
    </row>
    <row r="117" ht="26" customHeight="1">
      <c r="A117" s="8" t="inlineStr">
        <is>
          <t>LONGEVITY</t>
        </is>
      </c>
      <c r="B117" s="8" t="inlineStr">
        <is>
          <t>Selank</t>
        </is>
      </c>
      <c r="C117" s="9" t="inlineStr">
        <is>
          <t>10 mg</t>
        </is>
      </c>
      <c r="D117" s="15">
        <f>ROUND(AVERAGE(BANDAS!$E$60,BANDAS!$F$60)*10/1,0)*1</f>
        <v/>
      </c>
      <c r="E117" s="16">
        <f>D117*BANDAS!$E$5</f>
        <v/>
      </c>
      <c r="F117" s="12">
        <f>INDEX(BANDAS!$H$9:$H$64,MATCH($B117,BANDAS!$B$9:$B$64,0))</f>
        <v/>
      </c>
      <c r="G117" s="13">
        <f>INDEX(BANDAS!$G$9:$G$64,MATCH($B117,BANDAS!$B$9:$B$64,0))</f>
        <v/>
      </c>
    </row>
    <row r="118" ht="26" customHeight="1">
      <c r="A118" s="8" t="inlineStr">
        <is>
          <t>LONGEVITY</t>
        </is>
      </c>
      <c r="B118" s="8" t="inlineStr">
        <is>
          <t>Semax</t>
        </is>
      </c>
      <c r="C118" s="9" t="inlineStr">
        <is>
          <t>5 mg</t>
        </is>
      </c>
      <c r="D118" s="15">
        <f>ROUND(AVERAGE(BANDAS!$E$61,BANDAS!$F$61)*5/1,0)*1</f>
        <v/>
      </c>
      <c r="E118" s="16">
        <f>D118*BANDAS!$E$5</f>
        <v/>
      </c>
      <c r="F118" s="12">
        <f>INDEX(BANDAS!$H$9:$H$64,MATCH($B118,BANDAS!$B$9:$B$64,0))</f>
        <v/>
      </c>
      <c r="G118" s="13">
        <f>INDEX(BANDAS!$G$9:$G$64,MATCH($B118,BANDAS!$B$9:$B$64,0))</f>
        <v/>
      </c>
    </row>
    <row r="119" ht="26" customHeight="1">
      <c r="A119" s="8" t="inlineStr">
        <is>
          <t>LONGEVITY</t>
        </is>
      </c>
      <c r="B119" s="8" t="inlineStr">
        <is>
          <t>Semax</t>
        </is>
      </c>
      <c r="C119" s="9" t="inlineStr">
        <is>
          <t>10 mg</t>
        </is>
      </c>
      <c r="D119" s="15">
        <f>ROUND(AVERAGE(BANDAS!$E$61,BANDAS!$F$61)*10/1,0)*1</f>
        <v/>
      </c>
      <c r="E119" s="16">
        <f>D119*BANDAS!$E$5</f>
        <v/>
      </c>
      <c r="F119" s="12">
        <f>INDEX(BANDAS!$H$9:$H$64,MATCH($B119,BANDAS!$B$9:$B$64,0))</f>
        <v/>
      </c>
      <c r="G119" s="13">
        <f>INDEX(BANDAS!$G$9:$G$64,MATCH($B119,BANDAS!$B$9:$B$64,0))</f>
        <v/>
      </c>
    </row>
    <row r="120" ht="26" customHeight="1">
      <c r="A120" s="8" t="inlineStr">
        <is>
          <t>LONGEVITY</t>
        </is>
      </c>
      <c r="B120" s="8" t="inlineStr">
        <is>
          <t>Thymalin</t>
        </is>
      </c>
      <c r="C120" s="9" t="inlineStr">
        <is>
          <t>10 mg</t>
        </is>
      </c>
      <c r="D120" s="15">
        <f>ROUND(AVERAGE(BANDAS!$E$62,BANDAS!$F$62)*10/1,0)*1</f>
        <v/>
      </c>
      <c r="E120" s="16">
        <f>D120*BANDAS!$E$5</f>
        <v/>
      </c>
      <c r="F120" s="12">
        <f>INDEX(BANDAS!$H$9:$H$64,MATCH($B120,BANDAS!$B$9:$B$64,0))</f>
        <v/>
      </c>
      <c r="G120" s="13">
        <f>INDEX(BANDAS!$G$9:$G$64,MATCH($B120,BANDAS!$B$9:$B$64,0))</f>
        <v/>
      </c>
    </row>
    <row r="121" ht="26" customHeight="1">
      <c r="A121" s="8" t="inlineStr">
        <is>
          <t>LONGEVITY</t>
        </is>
      </c>
      <c r="B121" s="8" t="inlineStr">
        <is>
          <t>Thymosin Alpha-1</t>
        </is>
      </c>
      <c r="C121" s="9" t="inlineStr">
        <is>
          <t>5 mg</t>
        </is>
      </c>
      <c r="D121" s="15">
        <f>ROUND(AVERAGE(BANDAS!$E$63,BANDAS!$F$63)*5/1,0)*1</f>
        <v/>
      </c>
      <c r="E121" s="16">
        <f>D121*BANDAS!$E$5</f>
        <v/>
      </c>
      <c r="F121" s="12">
        <f>INDEX(BANDAS!$H$9:$H$64,MATCH($B121,BANDAS!$B$9:$B$64,0))</f>
        <v/>
      </c>
      <c r="G121" s="13">
        <f>INDEX(BANDAS!$G$9:$G$64,MATCH($B121,BANDAS!$B$9:$B$64,0))</f>
        <v/>
      </c>
    </row>
    <row r="122" ht="26" customHeight="1">
      <c r="A122" s="8" t="inlineStr">
        <is>
          <t>LONGEVITY</t>
        </is>
      </c>
      <c r="B122" s="8" t="inlineStr">
        <is>
          <t>Thymosin Alpha-1</t>
        </is>
      </c>
      <c r="C122" s="9" t="inlineStr">
        <is>
          <t>10 mg</t>
        </is>
      </c>
      <c r="D122" s="15">
        <f>ROUND(AVERAGE(BANDAS!$E$63,BANDAS!$F$63)*10/1,0)*1</f>
        <v/>
      </c>
      <c r="E122" s="16">
        <f>D122*BANDAS!$E$5</f>
        <v/>
      </c>
      <c r="F122" s="12">
        <f>INDEX(BANDAS!$H$9:$H$64,MATCH($B122,BANDAS!$B$9:$B$64,0))</f>
        <v/>
      </c>
      <c r="G122" s="13">
        <f>INDEX(BANDAS!$G$9:$G$64,MATCH($B122,BANDAS!$B$9:$B$64,0))</f>
        <v/>
      </c>
    </row>
    <row r="123" ht="26" customHeight="1">
      <c r="A123" s="8" t="inlineStr">
        <is>
          <t>LONGEVITY</t>
        </is>
      </c>
      <c r="B123" s="8" t="inlineStr">
        <is>
          <t>Vitamin B12</t>
        </is>
      </c>
      <c r="C123" s="9" t="inlineStr">
        <is>
          <t>1 mg</t>
        </is>
      </c>
      <c r="D123" s="15">
        <f>ROUND(AVERAGE(BANDAS!$E$64,BANDAS!$F$64)*1/1,0)*1</f>
        <v/>
      </c>
      <c r="E123" s="16">
        <f>D123*BANDAS!$E$5</f>
        <v/>
      </c>
      <c r="F123" s="12">
        <f>INDEX(BANDAS!$H$9:$H$64,MATCH($B123,BANDAS!$B$9:$B$64,0))</f>
        <v/>
      </c>
      <c r="G123" s="13">
        <f>INDEX(BANDAS!$G$9:$G$64,MATCH($B123,BANDAS!$B$9:$B$64,0))</f>
        <v/>
      </c>
    </row>
  </sheetData>
  <autoFilter ref="A5:G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6" customWidth="1" min="3" max="3"/>
    <col width="16" customWidth="1" min="4" max="4"/>
    <col width="4" customWidth="1" min="5" max="5"/>
    <col width="4" customWidth="1" min="6" max="6"/>
    <col width="52" customWidth="1" min="7" max="7"/>
  </cols>
  <sheetData>
    <row r="2">
      <c r="B2" s="5" t="inlineStr">
        <is>
          <t>PEPTIDEX · RESUMEN</t>
        </is>
      </c>
    </row>
    <row r="3">
      <c r="B3" s="6" t="inlineStr">
        <is>
          <t>De dónde sale el precio de las dos listas, y qué contesta y qué no.  03.08.2026</t>
        </is>
      </c>
    </row>
    <row r="5">
      <c r="C5" s="17" t="inlineStr">
        <is>
          <t>MÉXICO (MXN)</t>
        </is>
      </c>
      <c r="D5" s="17" t="inlineStr">
        <is>
          <t>USA (USD)</t>
        </is>
      </c>
    </row>
    <row r="6" ht="22" customHeight="1">
      <c r="B6" s="18" t="inlineStr">
        <is>
          <t>DE DÓNDE SALE EL PRECIO</t>
        </is>
      </c>
      <c r="C6" s="19" t="n"/>
      <c r="D6" s="19" t="n"/>
      <c r="E6" s="19" t="n"/>
      <c r="F6" s="19" t="n"/>
      <c r="G6" s="19" t="n"/>
    </row>
    <row r="7" ht="40" customHeight="1">
      <c r="B7" s="4" t="inlineStr">
        <is>
          <t>·  El mercado no cotiza viales, cotiza materia: el vial de 20 mg vale cuatro veces el de 5 mg del mismo compuesto. Por eso se busca el precio por UNIDAD — mg casi siempre, UI en la hormona de crecimiento, ml en el lipotrópico — y se multiplica por la cantidad de cada presentación.</t>
        </is>
      </c>
    </row>
    <row r="8" ht="40" customHeight="1">
      <c r="B8" s="4" t="inlineStr">
        <is>
          <t>·  De cada compuesto se localizó el precio más barato y el más caro del mercado. El precio de las listas es el punto medio: ni el suelo, que es guerra de precio, ni el techo, que sólo lo sostiene una marca ya conocida.</t>
        </is>
      </c>
    </row>
    <row r="9" ht="40" customHeight="1">
      <c r="B9" s="4" t="inlineStr">
        <is>
          <t>·  Todo eso está en la hoja BANDAS, compuesto por compuesto y con su fuente. Es el único sitio del libro con números escritos a mano: las 236 filas de las dos listas son fórmulas contra ella. Cambiando ahí el tipo de cambio o una banda se actualiza el libro entero.</t>
        </is>
      </c>
    </row>
    <row r="10" ht="22" customHeight="1">
      <c r="B10" s="18" t="inlineStr">
        <is>
          <t>LAS CIFRAS</t>
        </is>
      </c>
      <c r="C10" s="19" t="n"/>
      <c r="D10" s="19" t="n"/>
      <c r="E10" s="19" t="n"/>
      <c r="F10" s="19" t="n"/>
      <c r="G10" s="19" t="n"/>
    </row>
    <row r="11">
      <c r="B11" s="8" t="inlineStr">
        <is>
          <t>Valor del catálogo a precio al consumidor</t>
        </is>
      </c>
      <c r="C11" s="20">
        <f>SUM('MÉXICO'!$D$6:$D$123)</f>
        <v/>
      </c>
      <c r="D11" s="21">
        <f>SUM('USA'!$D$6:$D$123)</f>
        <v/>
      </c>
      <c r="G11" s="22" t="inlineStr">
        <is>
          <t>Una unidad de cada presentación. No es una previsión de ventas.</t>
        </is>
      </c>
    </row>
    <row r="12">
      <c r="B12" s="8" t="inlineStr">
        <is>
          <t>Presentaciones</t>
        </is>
      </c>
      <c r="C12" s="23">
        <f>COUNTA('MÉXICO'!$B$6:$B$123)</f>
        <v/>
      </c>
      <c r="D12" s="23">
        <f>COUNTA('USA'!$B$6:$B$123)</f>
        <v/>
      </c>
      <c r="G12" s="22" t="inlineStr"/>
    </row>
    <row r="13">
      <c r="B13" s="8" t="inlineStr">
        <is>
          <t>Precio medio por presentación</t>
        </is>
      </c>
      <c r="C13" s="20">
        <f>IF(C12=0,"",C11/C12)</f>
        <v/>
      </c>
      <c r="D13" s="21">
        <f>IF(D12=0,"",D11/D12)</f>
        <v/>
      </c>
      <c r="G13" s="22" t="inlineStr">
        <is>
          <t>México sale más caro que USA por la prima del retail mexicano, que está en BANDAS.</t>
        </is>
      </c>
    </row>
    <row r="14" ht="22" customHeight="1">
      <c r="B14" s="18" t="inlineStr">
        <is>
          <t>CUÁNTO CREERSE CADA PRECIO</t>
        </is>
      </c>
      <c r="C14" s="19" t="n"/>
      <c r="D14" s="19" t="n"/>
      <c r="E14" s="19" t="n"/>
      <c r="F14" s="19" t="n"/>
      <c r="G14" s="19" t="n"/>
    </row>
    <row r="15">
      <c r="B15" s="8" t="inlineStr">
        <is>
          <t>Compuestos con cifra publicada para ese compuesto</t>
        </is>
      </c>
      <c r="C15" s="23">
        <f>COUNTIF(BANDAS!$G$9:$G$64,"V")</f>
        <v/>
      </c>
      <c r="D15" s="23">
        <f>COUNTIF(BANDAS!$G$9:$G$64,"V")</f>
        <v/>
      </c>
      <c r="G15" s="22" t="inlineStr">
        <is>
          <t>Marcados V en BANDAS. Hay un precio real localizado para esa molécula.</t>
        </is>
      </c>
    </row>
    <row r="16">
      <c r="B16" s="8" t="inlineStr">
        <is>
          <t>Compuestos por banda de su clase</t>
        </is>
      </c>
      <c r="C16" s="23">
        <f>COUNTIF(BANDAS!$G$9:$G$64,"D")</f>
        <v/>
      </c>
      <c r="D16" s="23">
        <f>COUNTIF(BANDAS!$G$9:$G$64,"D")</f>
        <v/>
      </c>
      <c r="G16" s="22" t="inlineStr">
        <is>
          <t>Marcados D. No hay cifra para esa molécula; se usa la de su clase, que sí está comprobada.</t>
        </is>
      </c>
    </row>
    <row r="17">
      <c r="B17" s="8" t="inlineStr">
        <is>
          <t>Fuentes consultadas</t>
        </is>
      </c>
      <c r="C17" s="23" t="n">
        <v>21</v>
      </c>
      <c r="D17" s="23" t="n">
        <v>21</v>
      </c>
      <c r="G17" s="22" t="inlineStr">
        <is>
          <t>Listadas en FUENTES, con el dato que dio cada una.</t>
        </is>
      </c>
    </row>
    <row r="18">
      <c r="B18" s="8" t="inlineStr">
        <is>
          <t>Precios reales de competidores mexicanos</t>
        </is>
      </c>
      <c r="C18" s="23" t="n">
        <v>8</v>
      </c>
      <c r="D18" s="23" t="inlineStr"/>
      <c r="G18" s="22" t="inlineStr">
        <is>
          <t>Ocho compuestos con precio publicado por una tienda mexicana, con nombre. En BANDAS.</t>
        </is>
      </c>
    </row>
    <row r="19" ht="22" customHeight="1">
      <c r="B19" s="18" t="inlineStr">
        <is>
          <t>LO QUE ESTE ESTUDIO NO CONTESTA</t>
        </is>
      </c>
      <c r="C19" s="19" t="n"/>
      <c r="D19" s="19" t="n"/>
      <c r="E19" s="19" t="n"/>
      <c r="F19" s="19" t="n"/>
      <c r="G19" s="19" t="n"/>
    </row>
    <row r="20" ht="28" customHeight="1">
      <c r="B20" s="4" t="inlineStr">
        <is>
          <t>·  Margen. No lleva costo, y sin costo no hay margen. Puesto el costo al lado de la columna de precio, sale solo.</t>
        </is>
      </c>
    </row>
    <row r="21" ht="28" customHeight="1">
      <c r="B21" s="4" t="inlineStr">
        <is>
          <t>·  Volumen. Dice a cuánto se vende cada presentación, no cuántas se venden.</t>
        </is>
      </c>
    </row>
    <row r="22" ht="28" customHeight="1">
      <c r="B22" s="4" t="inlineStr">
        <is>
          <t>·  Elasticidad. No dice cuánto cae la demanda si se sube el precio. Eso sólo lo contesta subirlo en un compuesto y mirar dos meses.</t>
        </is>
      </c>
    </row>
    <row r="23" ht="28" customHeight="1">
      <c r="B23" s="4" t="inlineStr">
        <is>
          <t>·  Tamaño del mercado. No hay cifra pública fiable de péptidos de investigación en México, y poner una inventada haría dudar del resto del libro.</t>
        </is>
      </c>
    </row>
    <row r="25" ht="28" customHeight="1">
      <c r="B25" s="2" t="inlineStr">
        <is>
          <t>Los precios de este mercado se mueven semana a semana — tirzepatida y retatrutida son las más volátiles. Conviene revisar BANDAS cada trimestre.</t>
        </is>
      </c>
    </row>
    <row r="27">
      <c r="B27" s="6" t="inlineStr">
        <is>
          <t>Research Use Only — no para uso humano ni veterinario.</t>
        </is>
      </c>
    </row>
  </sheetData>
  <mergeCells count="9">
    <mergeCell ref="B3:G3"/>
    <mergeCell ref="B20:G20"/>
    <mergeCell ref="B22:G22"/>
    <mergeCell ref="B23:G23"/>
    <mergeCell ref="B9:G9"/>
    <mergeCell ref="B8:G8"/>
    <mergeCell ref="B21:G21"/>
    <mergeCell ref="B7:G7"/>
    <mergeCell ref="B25:G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I6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8" customWidth="1" min="4" max="4"/>
    <col width="14" customWidth="1" min="5" max="5"/>
    <col width="14" customWidth="1" min="6" max="6"/>
    <col width="7" customWidth="1" min="7" max="7"/>
    <col width="74" customWidth="1" min="8" max="8"/>
    <col width="52" customWidth="1" min="9" max="9"/>
  </cols>
  <sheetData>
    <row r="2">
      <c r="B2" s="5" t="inlineStr">
        <is>
          <t>BANDAS DE MERCADO</t>
        </is>
      </c>
    </row>
    <row r="3">
      <c r="B3" s="6" t="inlineStr">
        <is>
          <t>Precio de mercado por unidad, en dólares.  Es el único sitio donde hay números escritos a mano: todo lo demás del libro sale de aquí por fórmula.</t>
        </is>
      </c>
    </row>
    <row r="5">
      <c r="B5" s="24" t="inlineStr">
        <is>
          <t>Tipo de cambio USD → MXN</t>
        </is>
      </c>
      <c r="E5" s="25" t="n">
        <v>17.5</v>
      </c>
      <c r="F5" s="6" t="inlineStr">
        <is>
          <t>Fuente: Investing.com · media 2026 ≈ 17.47</t>
        </is>
      </c>
    </row>
    <row r="6">
      <c r="B6" s="24" t="inlineStr">
        <is>
          <t>Prima del retail mexicano sobre el estadounidense</t>
        </is>
      </c>
      <c r="E6" s="25" t="n">
        <v>1.35</v>
      </c>
      <c r="F6" s="6" t="inlineStr">
        <is>
          <t>Mediana observada comparando ocho pares MX/USA reales (ver FUENTES)</t>
        </is>
      </c>
    </row>
    <row r="8" ht="30" customHeight="1">
      <c r="A8" s="7" t="inlineStr">
        <is>
          <t>CÓDIGO</t>
        </is>
      </c>
      <c r="B8" s="7" t="inlineStr">
        <is>
          <t>COMPUESTO</t>
        </is>
      </c>
      <c r="C8" s="7" t="inlineStr">
        <is>
          <t>LÍNEA</t>
        </is>
      </c>
      <c r="D8" s="7" t="inlineStr">
        <is>
          <t>UNIDAD</t>
        </is>
      </c>
      <c r="E8" s="7" t="inlineStr">
        <is>
          <t>USD/UNIDAD BAJO</t>
        </is>
      </c>
      <c r="F8" s="7" t="inlineStr">
        <is>
          <t>USD/UNIDAD ALTO</t>
        </is>
      </c>
      <c r="G8" s="7" t="inlineStr">
        <is>
          <t>CONF.</t>
        </is>
      </c>
      <c r="H8" s="7" t="inlineStr">
        <is>
          <t>EN QUÉ SE BASA</t>
        </is>
      </c>
      <c r="I8" s="7" t="inlineStr">
        <is>
          <t>ENLACE</t>
        </is>
      </c>
    </row>
    <row r="9">
      <c r="A9" s="26" t="inlineStr">
        <is>
          <t>AC</t>
        </is>
      </c>
      <c r="B9" s="26" t="inlineStr">
        <is>
          <t>AHK-Cu</t>
        </is>
      </c>
      <c r="C9" s="26" t="inlineStr">
        <is>
          <t>BEAUTY</t>
        </is>
      </c>
      <c r="D9" s="26" t="inlineStr">
        <is>
          <t>mg</t>
        </is>
      </c>
      <c r="E9" s="27" t="n">
        <v>0.7</v>
      </c>
      <c r="F9" s="27" t="n">
        <v>1.3</v>
      </c>
      <c r="G9" s="13" t="inlineStr">
        <is>
          <t>D</t>
        </is>
      </c>
      <c r="H9" s="28" t="inlineStr">
        <is>
          <t>AHK-Cu: 50 mg $35–65, sigue a GHK-Cu con prima</t>
        </is>
      </c>
      <c r="I9" s="29" t="inlineStr">
        <is>
          <t>https://peptide.promo/</t>
        </is>
      </c>
    </row>
    <row r="10">
      <c r="A10" s="26" t="inlineStr">
        <is>
          <t>CU</t>
        </is>
      </c>
      <c r="B10" s="26" t="inlineStr">
        <is>
          <t>GHK-Cu</t>
        </is>
      </c>
      <c r="C10" s="26" t="inlineStr">
        <is>
          <t>BEAUTY</t>
        </is>
      </c>
      <c r="D10" s="26" t="inlineStr">
        <is>
          <t>mg</t>
        </is>
      </c>
      <c r="E10" s="27" t="n">
        <v>0.5</v>
      </c>
      <c r="F10" s="27" t="n">
        <v>0.8</v>
      </c>
      <c r="G10" s="14" t="inlineStr">
        <is>
          <t>V</t>
        </is>
      </c>
      <c r="H10" s="28" t="inlineStr">
        <is>
          <t>peptide.promo · GHK-Cu desde $0.50/mg; 50 mg $20–40</t>
        </is>
      </c>
      <c r="I10" s="29" t="inlineStr">
        <is>
          <t>https://peptide.promo/</t>
        </is>
      </c>
    </row>
    <row r="11">
      <c r="A11" s="26" t="inlineStr">
        <is>
          <t>GL</t>
        </is>
      </c>
      <c r="B11" s="26" t="inlineStr">
        <is>
          <t>GLOW Blend</t>
        </is>
      </c>
      <c r="C11" s="26" t="inlineStr">
        <is>
          <t>BEAUTY</t>
        </is>
      </c>
      <c r="D11" s="26" t="inlineStr">
        <is>
          <t>mg</t>
        </is>
      </c>
      <c r="E11" s="27" t="n">
        <v>1.7</v>
      </c>
      <c r="F11" s="27" t="n">
        <v>3.1</v>
      </c>
      <c r="G11" s="13" t="inlineStr">
        <is>
          <t>D</t>
        </is>
      </c>
      <c r="H11" s="28" t="inlineStr">
        <is>
          <t>Mezcla GLOW 70 mg: $120–220 el vial</t>
        </is>
      </c>
      <c r="I11" s="29" t="inlineStr">
        <is>
          <t>https://peptide.promo/</t>
        </is>
      </c>
    </row>
    <row r="12">
      <c r="A12" s="26" t="inlineStr">
        <is>
          <t>GT</t>
        </is>
      </c>
      <c r="B12" s="26" t="inlineStr">
        <is>
          <t>Glutathione</t>
        </is>
      </c>
      <c r="C12" s="26" t="inlineStr">
        <is>
          <t>BEAUTY</t>
        </is>
      </c>
      <c r="D12" s="26" t="inlineStr">
        <is>
          <t>mg</t>
        </is>
      </c>
      <c r="E12" s="27" t="n">
        <v>0.05</v>
      </c>
      <c r="F12" s="27" t="n">
        <v>0.1</v>
      </c>
      <c r="G12" s="13" t="inlineStr">
        <is>
          <t>D</t>
        </is>
      </c>
      <c r="H12" s="28" t="inlineStr">
        <is>
          <t>Glutatión: 600 mg $30–60, es materia prima</t>
        </is>
      </c>
      <c r="I12" s="29" t="inlineStr">
        <is>
          <t>https://peptide.promo/</t>
        </is>
      </c>
    </row>
    <row r="13">
      <c r="A13" s="26" t="inlineStr">
        <is>
          <t>KL</t>
        </is>
      </c>
      <c r="B13" s="26" t="inlineStr">
        <is>
          <t>KLOW Blend</t>
        </is>
      </c>
      <c r="C13" s="26" t="inlineStr">
        <is>
          <t>BEAUTY</t>
        </is>
      </c>
      <c r="D13" s="26" t="inlineStr">
        <is>
          <t>mg</t>
        </is>
      </c>
      <c r="E13" s="27" t="n">
        <v>1.9</v>
      </c>
      <c r="F13" s="27" t="n">
        <v>3.25</v>
      </c>
      <c r="G13" s="13" t="inlineStr">
        <is>
          <t>D</t>
        </is>
      </c>
      <c r="H13" s="28" t="inlineStr">
        <is>
          <t>Mezcla KLOW 80 mg: $150–260 el vial</t>
        </is>
      </c>
      <c r="I13" s="29" t="inlineStr">
        <is>
          <t>https://peptide.promo/</t>
        </is>
      </c>
    </row>
    <row r="14">
      <c r="A14" s="26" t="inlineStr">
        <is>
          <t>KP</t>
        </is>
      </c>
      <c r="B14" s="26" t="inlineStr">
        <is>
          <t>KPV</t>
        </is>
      </c>
      <c r="C14" s="26" t="inlineStr">
        <is>
          <t>BEAUTY</t>
        </is>
      </c>
      <c r="D14" s="26" t="inlineStr">
        <is>
          <t>mg</t>
        </is>
      </c>
      <c r="E14" s="27" t="n">
        <v>3</v>
      </c>
      <c r="F14" s="27" t="n">
        <v>5.5</v>
      </c>
      <c r="G14" s="13" t="inlineStr">
        <is>
          <t>D</t>
        </is>
      </c>
      <c r="H14" s="28" t="inlineStr">
        <is>
          <t>KPV: 10 mg $30–55</t>
        </is>
      </c>
      <c r="I14" s="29" t="inlineStr">
        <is>
          <t>https://peptide.promo/</t>
        </is>
      </c>
    </row>
    <row r="15">
      <c r="A15" s="26" t="inlineStr">
        <is>
          <t>MX</t>
        </is>
      </c>
      <c r="B15" s="26" t="inlineStr">
        <is>
          <t>Matrixyl</t>
        </is>
      </c>
      <c r="C15" s="26" t="inlineStr">
        <is>
          <t>BEAUTY</t>
        </is>
      </c>
      <c r="D15" s="26" t="inlineStr">
        <is>
          <t>mg</t>
        </is>
      </c>
      <c r="E15" s="27" t="n">
        <v>5</v>
      </c>
      <c r="F15" s="27" t="n">
        <v>9</v>
      </c>
      <c r="G15" s="13" t="inlineStr">
        <is>
          <t>D</t>
        </is>
      </c>
      <c r="H15" s="28" t="inlineStr">
        <is>
          <t>Matrixyl: 10 mg $50–90</t>
        </is>
      </c>
      <c r="I15" s="29" t="inlineStr">
        <is>
          <t>https://peptide.promo/</t>
        </is>
      </c>
    </row>
    <row r="16">
      <c r="A16" s="26" t="inlineStr">
        <is>
          <t>MT1</t>
        </is>
      </c>
      <c r="B16" s="26" t="inlineStr">
        <is>
          <t>Melanotan I</t>
        </is>
      </c>
      <c r="C16" s="26" t="inlineStr">
        <is>
          <t>BEAUTY</t>
        </is>
      </c>
      <c r="D16" s="26" t="inlineStr">
        <is>
          <t>mg</t>
        </is>
      </c>
      <c r="E16" s="27" t="n">
        <v>3</v>
      </c>
      <c r="F16" s="27" t="n">
        <v>5.5</v>
      </c>
      <c r="G16" s="13" t="inlineStr">
        <is>
          <t>D</t>
        </is>
      </c>
      <c r="H16" s="28" t="inlineStr">
        <is>
          <t>Melanotán 1: sigue a melanotán 2 con menos demanda</t>
        </is>
      </c>
      <c r="I16" s="29" t="inlineStr">
        <is>
          <t>https://peptide.promo/</t>
        </is>
      </c>
    </row>
    <row r="17">
      <c r="A17" s="26" t="inlineStr">
        <is>
          <t>MT2</t>
        </is>
      </c>
      <c r="B17" s="26" t="inlineStr">
        <is>
          <t>Melanotan II</t>
        </is>
      </c>
      <c r="C17" s="26" t="inlineStr">
        <is>
          <t>BEAUTY</t>
        </is>
      </c>
      <c r="D17" s="26" t="inlineStr">
        <is>
          <t>mg</t>
        </is>
      </c>
      <c r="E17" s="27" t="n">
        <v>2.2</v>
      </c>
      <c r="F17" s="27" t="n">
        <v>6.4</v>
      </c>
      <c r="G17" s="14" t="inlineStr">
        <is>
          <t>V</t>
        </is>
      </c>
      <c r="H17" s="28" t="inlineStr">
        <is>
          <t>nationwidepeptides · melanotán 2 $22–30 y $47–64 según presentación</t>
        </is>
      </c>
      <c r="I17" s="29" t="inlineStr">
        <is>
          <t>https://www.nationwidepeptides.com/products/melanotan-2/</t>
        </is>
      </c>
    </row>
    <row r="18">
      <c r="A18" s="26" t="inlineStr">
        <is>
          <t>OT</t>
        </is>
      </c>
      <c r="B18" s="26" t="inlineStr">
        <is>
          <t>Oxytocin</t>
        </is>
      </c>
      <c r="C18" s="26" t="inlineStr">
        <is>
          <t>BEAUTY</t>
        </is>
      </c>
      <c r="D18" s="26" t="inlineStr">
        <is>
          <t>mg</t>
        </is>
      </c>
      <c r="E18" s="27" t="n">
        <v>5</v>
      </c>
      <c r="F18" s="27" t="n">
        <v>9</v>
      </c>
      <c r="G18" s="13" t="inlineStr">
        <is>
          <t>D</t>
        </is>
      </c>
      <c r="H18" s="28" t="inlineStr">
        <is>
          <t>Oxitocina: 5 mg $25–45</t>
        </is>
      </c>
      <c r="I18" s="29" t="inlineStr">
        <is>
          <t>https://peptide.promo/</t>
        </is>
      </c>
    </row>
    <row r="19">
      <c r="A19" s="26" t="inlineStr">
        <is>
          <t>PT</t>
        </is>
      </c>
      <c r="B19" s="26" t="inlineStr">
        <is>
          <t>PT-141</t>
        </is>
      </c>
      <c r="C19" s="26" t="inlineStr">
        <is>
          <t>BEAUTY</t>
        </is>
      </c>
      <c r="D19" s="26" t="inlineStr">
        <is>
          <t>mg</t>
        </is>
      </c>
      <c r="E19" s="27" t="n">
        <v>4</v>
      </c>
      <c r="F19" s="27" t="n">
        <v>8</v>
      </c>
      <c r="G19" s="14" t="inlineStr">
        <is>
          <t>V</t>
        </is>
      </c>
      <c r="H19" s="28" t="inlineStr">
        <is>
          <t>biotechpeptides / nexaph · PT-141 10 mg; nexaph $160 es el techo del mercado</t>
        </is>
      </c>
      <c r="I19" s="29" t="inlineStr">
        <is>
          <t>https://biotechpeptides.com/product/bpc-157/</t>
        </is>
      </c>
    </row>
    <row r="20">
      <c r="A20" s="26" t="inlineStr">
        <is>
          <t>NP8</t>
        </is>
      </c>
      <c r="B20" s="26" t="inlineStr">
        <is>
          <t>Snap-8</t>
        </is>
      </c>
      <c r="C20" s="26" t="inlineStr">
        <is>
          <t>BEAUTY</t>
        </is>
      </c>
      <c r="D20" s="26" t="inlineStr">
        <is>
          <t>mg</t>
        </is>
      </c>
      <c r="E20" s="27" t="n">
        <v>3</v>
      </c>
      <c r="F20" s="27" t="n">
        <v>5.5</v>
      </c>
      <c r="G20" s="13" t="inlineStr">
        <is>
          <t>D</t>
        </is>
      </c>
      <c r="H20" s="28" t="inlineStr">
        <is>
          <t>Snap-8: 10 mg $30–55</t>
        </is>
      </c>
      <c r="I20" s="29" t="inlineStr">
        <is>
          <t>https://peptide.promo/</t>
        </is>
      </c>
    </row>
    <row r="21">
      <c r="A21" s="26" t="inlineStr">
        <is>
          <t>AM</t>
        </is>
      </c>
      <c r="B21" s="26" t="inlineStr">
        <is>
          <t>5-Amino-1MQ</t>
        </is>
      </c>
      <c r="C21" s="26" t="inlineStr">
        <is>
          <t>FITNESS</t>
        </is>
      </c>
      <c r="D21" s="26" t="inlineStr">
        <is>
          <t>mg</t>
        </is>
      </c>
      <c r="E21" s="27" t="n">
        <v>1.2</v>
      </c>
      <c r="F21" s="27" t="n">
        <v>2.2</v>
      </c>
      <c r="G21" s="13" t="inlineStr">
        <is>
          <t>D</t>
        </is>
      </c>
      <c r="H21" s="28" t="inlineStr">
        <is>
          <t>5-Amino-1MQ: 50 mg $60–110</t>
        </is>
      </c>
      <c r="I21" s="29" t="inlineStr">
        <is>
          <t>https://peptide.promo/</t>
        </is>
      </c>
    </row>
    <row r="22">
      <c r="A22" s="26" t="inlineStr">
        <is>
          <t>AR</t>
        </is>
      </c>
      <c r="B22" s="26" t="inlineStr">
        <is>
          <t>AICAR</t>
        </is>
      </c>
      <c r="C22" s="26" t="inlineStr">
        <is>
          <t>FITNESS</t>
        </is>
      </c>
      <c r="D22" s="26" t="inlineStr">
        <is>
          <t>mg</t>
        </is>
      </c>
      <c r="E22" s="27" t="n">
        <v>0.8</v>
      </c>
      <c r="F22" s="27" t="n">
        <v>1.4</v>
      </c>
      <c r="G22" s="13" t="inlineStr">
        <is>
          <t>D</t>
        </is>
      </c>
      <c r="H22" s="28" t="inlineStr">
        <is>
          <t>AICAR: 50 mg $40–70</t>
        </is>
      </c>
      <c r="I22" s="29" t="inlineStr">
        <is>
          <t>https://peptide.promo/</t>
        </is>
      </c>
    </row>
    <row r="23">
      <c r="A23" s="26" t="inlineStr">
        <is>
          <t>AD</t>
        </is>
      </c>
      <c r="B23" s="26" t="inlineStr">
        <is>
          <t>AOD-9604</t>
        </is>
      </c>
      <c r="C23" s="26" t="inlineStr">
        <is>
          <t>FITNESS</t>
        </is>
      </c>
      <c r="D23" s="26" t="inlineStr">
        <is>
          <t>mg</t>
        </is>
      </c>
      <c r="E23" s="27" t="n">
        <v>5</v>
      </c>
      <c r="F23" s="27" t="n">
        <v>9</v>
      </c>
      <c r="G23" s="13" t="inlineStr">
        <is>
          <t>D</t>
        </is>
      </c>
      <c r="H23" s="28" t="inlineStr">
        <is>
          <t>Fragmentos lipolíticos: AOD-9604 5 mg $25–45</t>
        </is>
      </c>
      <c r="I23" s="29" t="inlineStr">
        <is>
          <t>https://peptide.promo/</t>
        </is>
      </c>
    </row>
    <row r="24">
      <c r="A24" s="26" t="inlineStr">
        <is>
          <t>AX</t>
        </is>
      </c>
      <c r="B24" s="26" t="inlineStr">
        <is>
          <t>Adamax</t>
        </is>
      </c>
      <c r="C24" s="26" t="inlineStr">
        <is>
          <t>FITNESS</t>
        </is>
      </c>
      <c r="D24" s="26" t="inlineStr">
        <is>
          <t>mg</t>
        </is>
      </c>
      <c r="E24" s="27" t="n">
        <v>6</v>
      </c>
      <c r="F24" s="27" t="n">
        <v>11</v>
      </c>
      <c r="G24" s="13" t="inlineStr">
        <is>
          <t>D</t>
        </is>
      </c>
      <c r="H24" s="28" t="inlineStr">
        <is>
          <t>Adamax: 10 mg $60–110, oferta escasa</t>
        </is>
      </c>
      <c r="I24" s="29" t="inlineStr">
        <is>
          <t>https://peptide.promo/</t>
        </is>
      </c>
    </row>
    <row r="25">
      <c r="A25" s="26" t="inlineStr">
        <is>
          <t>APT</t>
        </is>
      </c>
      <c r="B25" s="26" t="inlineStr">
        <is>
          <t>Adipotide</t>
        </is>
      </c>
      <c r="C25" s="26" t="inlineStr">
        <is>
          <t>FITNESS</t>
        </is>
      </c>
      <c r="D25" s="26" t="inlineStr">
        <is>
          <t>mg</t>
        </is>
      </c>
      <c r="E25" s="27" t="n">
        <v>7</v>
      </c>
      <c r="F25" s="27" t="n">
        <v>12</v>
      </c>
      <c r="G25" s="13" t="inlineStr">
        <is>
          <t>D</t>
        </is>
      </c>
      <c r="H25" s="28" t="inlineStr">
        <is>
          <t>Adipotide: oferta escasa, prima sobre AOD</t>
        </is>
      </c>
      <c r="I25" s="29" t="inlineStr">
        <is>
          <t>https://peptide.promo/</t>
        </is>
      </c>
    </row>
    <row r="26">
      <c r="A26" s="26" t="inlineStr">
        <is>
          <t>RA</t>
        </is>
      </c>
      <c r="B26" s="26" t="inlineStr">
        <is>
          <t>Ara-290</t>
        </is>
      </c>
      <c r="C26" s="26" t="inlineStr">
        <is>
          <t>FITNESS</t>
        </is>
      </c>
      <c r="D26" s="26" t="inlineStr">
        <is>
          <t>mg</t>
        </is>
      </c>
      <c r="E26" s="27" t="n">
        <v>6</v>
      </c>
      <c r="F26" s="27" t="n">
        <v>11</v>
      </c>
      <c r="G26" s="13" t="inlineStr">
        <is>
          <t>D</t>
        </is>
      </c>
      <c r="H26" s="28" t="inlineStr">
        <is>
          <t>Ara-290: 10 mg $60–110, oferta escasa</t>
        </is>
      </c>
      <c r="I26" s="29" t="inlineStr">
        <is>
          <t>https://peptide.promo/</t>
        </is>
      </c>
    </row>
    <row r="27">
      <c r="A27" s="26" t="inlineStr">
        <is>
          <t>BC</t>
        </is>
      </c>
      <c r="B27" s="26" t="inlineStr">
        <is>
          <t>BPC-157</t>
        </is>
      </c>
      <c r="C27" s="26" t="inlineStr">
        <is>
          <t>FITNESS</t>
        </is>
      </c>
      <c r="D27" s="26" t="inlineStr">
        <is>
          <t>mg</t>
        </is>
      </c>
      <c r="E27" s="27" t="n">
        <v>2.5</v>
      </c>
      <c r="F27" s="27" t="n">
        <v>7</v>
      </c>
      <c r="G27" s="14" t="inlineStr">
        <is>
          <t>V</t>
        </is>
      </c>
      <c r="H27" s="28" t="inlineStr">
        <is>
          <t>peptide.promo · BPC-157 desde $2.46/mg; vial 5 mg $20–35 en peptidesexplorer</t>
        </is>
      </c>
      <c r="I27" s="29" t="inlineStr">
        <is>
          <t>https://peptide.promo/</t>
        </is>
      </c>
    </row>
    <row r="28">
      <c r="A28" s="26" t="inlineStr">
        <is>
          <t>BB</t>
        </is>
      </c>
      <c r="B28" s="26" t="inlineStr">
        <is>
          <t>BPC-157 + TB-500</t>
        </is>
      </c>
      <c r="C28" s="26" t="inlineStr">
        <is>
          <t>FITNESS</t>
        </is>
      </c>
      <c r="D28" s="26" t="inlineStr">
        <is>
          <t>mg</t>
        </is>
      </c>
      <c r="E28" s="27" t="n">
        <v>2.8</v>
      </c>
      <c r="F28" s="27" t="n">
        <v>7.5</v>
      </c>
      <c r="G28" s="13" t="inlineStr">
        <is>
          <t>D</t>
        </is>
      </c>
      <c r="H28" s="28" t="inlineStr">
        <is>
          <t>Mezcla BPC-157 + TB-500: media de las bandas de sus dos componentes</t>
        </is>
      </c>
      <c r="I28" s="29" t="inlineStr">
        <is>
          <t>https://peptide.promo/</t>
        </is>
      </c>
    </row>
    <row r="29">
      <c r="A29" s="26" t="inlineStr">
        <is>
          <t>CD</t>
        </is>
      </c>
      <c r="B29" s="26" t="inlineStr">
        <is>
          <t>CJC-1295 (DAC)</t>
        </is>
      </c>
      <c r="C29" s="26" t="inlineStr">
        <is>
          <t>FITNESS</t>
        </is>
      </c>
      <c r="D29" s="26" t="inlineStr">
        <is>
          <t>mg</t>
        </is>
      </c>
      <c r="E29" s="27" t="n">
        <v>8</v>
      </c>
      <c r="F29" s="27" t="n">
        <v>14</v>
      </c>
      <c r="G29" s="13" t="inlineStr">
        <is>
          <t>D</t>
        </is>
      </c>
      <c r="H29" s="28" t="inlineStr">
        <is>
          <t>CJC-1295 con DAC: prima sobre el sin DAC por vida media</t>
        </is>
      </c>
      <c r="I29" s="29" t="inlineStr">
        <is>
          <t>https://peptide.promo/</t>
        </is>
      </c>
    </row>
    <row r="30">
      <c r="A30" s="26" t="inlineStr">
        <is>
          <t>CN</t>
        </is>
      </c>
      <c r="B30" s="26" t="inlineStr">
        <is>
          <t>CJC-1295 (no DAC)</t>
        </is>
      </c>
      <c r="C30" s="26" t="inlineStr">
        <is>
          <t>FITNESS</t>
        </is>
      </c>
      <c r="D30" s="26" t="inlineStr">
        <is>
          <t>mg</t>
        </is>
      </c>
      <c r="E30" s="27" t="n">
        <v>4</v>
      </c>
      <c r="F30" s="27" t="n">
        <v>9</v>
      </c>
      <c r="G30" s="13" t="inlineStr">
        <is>
          <t>D</t>
        </is>
      </c>
      <c r="H30" s="28" t="inlineStr">
        <is>
          <t>Clase secretagogos GH</t>
        </is>
      </c>
      <c r="I30" s="29" t="inlineStr">
        <is>
          <t>https://peptide.promo/</t>
        </is>
      </c>
    </row>
    <row r="31">
      <c r="A31" s="26" t="inlineStr">
        <is>
          <t>CP</t>
        </is>
      </c>
      <c r="B31" s="26" t="inlineStr">
        <is>
          <t>CJC-1295 + Ipamorelin</t>
        </is>
      </c>
      <c r="C31" s="26" t="inlineStr">
        <is>
          <t>FITNESS</t>
        </is>
      </c>
      <c r="D31" s="26" t="inlineStr">
        <is>
          <t>mg</t>
        </is>
      </c>
      <c r="E31" s="27" t="n">
        <v>5</v>
      </c>
      <c r="F31" s="27" t="n">
        <v>9.199999999999999</v>
      </c>
      <c r="G31" s="14" t="inlineStr">
        <is>
          <t>V</t>
        </is>
      </c>
      <c r="H31" s="28" t="inlineStr">
        <is>
          <t>accelerate-labs · CJC-1295 5 mg + Ipamorelina 5 mg $91.99</t>
        </is>
      </c>
      <c r="I31" s="29" t="inlineStr">
        <is>
          <t>https://peptide.promo/</t>
        </is>
      </c>
    </row>
    <row r="32">
      <c r="A32" s="26" t="inlineStr">
        <is>
          <t>CS</t>
        </is>
      </c>
      <c r="B32" s="26" t="inlineStr">
        <is>
          <t>Cagri + Sema</t>
        </is>
      </c>
      <c r="C32" s="26" t="inlineStr">
        <is>
          <t>FITNESS</t>
        </is>
      </c>
      <c r="D32" s="26" t="inlineStr">
        <is>
          <t>mg</t>
        </is>
      </c>
      <c r="E32" s="27" t="n">
        <v>5</v>
      </c>
      <c r="F32" s="27" t="n">
        <v>12</v>
      </c>
      <c r="G32" s="13" t="inlineStr">
        <is>
          <t>D</t>
        </is>
      </c>
      <c r="H32" s="28" t="inlineStr">
        <is>
          <t>Clase GLP-1 combinada (cagri + sema)</t>
        </is>
      </c>
      <c r="I32" s="29" t="inlineStr">
        <is>
          <t>https://peptide.promo/</t>
        </is>
      </c>
    </row>
    <row r="33">
      <c r="A33" s="26" t="inlineStr">
        <is>
          <t>CGL</t>
        </is>
      </c>
      <c r="B33" s="26" t="inlineStr">
        <is>
          <t>Cagrilintide</t>
        </is>
      </c>
      <c r="C33" s="26" t="inlineStr">
        <is>
          <t>FITNESS</t>
        </is>
      </c>
      <c r="D33" s="26" t="inlineStr">
        <is>
          <t>mg</t>
        </is>
      </c>
      <c r="E33" s="27" t="n">
        <v>5</v>
      </c>
      <c r="F33" s="27" t="n">
        <v>12</v>
      </c>
      <c r="G33" s="13" t="inlineStr">
        <is>
          <t>D</t>
        </is>
      </c>
      <c r="H33" s="28" t="inlineStr">
        <is>
          <t>Clase GLP-1/amilina (cagrilintida)</t>
        </is>
      </c>
      <c r="I33" s="29" t="inlineStr">
        <is>
          <t>https://peptide.promo/</t>
        </is>
      </c>
    </row>
    <row r="34">
      <c r="A34" s="26" t="inlineStr">
        <is>
          <t>G2</t>
        </is>
      </c>
      <c r="B34" s="26" t="inlineStr">
        <is>
          <t>GHRP-2</t>
        </is>
      </c>
      <c r="C34" s="26" t="inlineStr">
        <is>
          <t>FITNESS</t>
        </is>
      </c>
      <c r="D34" s="26" t="inlineStr">
        <is>
          <t>mg</t>
        </is>
      </c>
      <c r="E34" s="27" t="n">
        <v>4</v>
      </c>
      <c r="F34" s="27" t="n">
        <v>9</v>
      </c>
      <c r="G34" s="13" t="inlineStr">
        <is>
          <t>D</t>
        </is>
      </c>
      <c r="H34" s="28" t="inlineStr">
        <is>
          <t>Clase secretagogos GH</t>
        </is>
      </c>
      <c r="I34" s="29" t="inlineStr">
        <is>
          <t>https://peptide.promo/</t>
        </is>
      </c>
    </row>
    <row r="35">
      <c r="A35" s="26" t="inlineStr">
        <is>
          <t>G6</t>
        </is>
      </c>
      <c r="B35" s="26" t="inlineStr">
        <is>
          <t>GHRP-6</t>
        </is>
      </c>
      <c r="C35" s="26" t="inlineStr">
        <is>
          <t>FITNESS</t>
        </is>
      </c>
      <c r="D35" s="26" t="inlineStr">
        <is>
          <t>mg</t>
        </is>
      </c>
      <c r="E35" s="27" t="n">
        <v>4</v>
      </c>
      <c r="F35" s="27" t="n">
        <v>9</v>
      </c>
      <c r="G35" s="13" t="inlineStr">
        <is>
          <t>D</t>
        </is>
      </c>
      <c r="H35" s="28" t="inlineStr">
        <is>
          <t>Clase secretagogos GH</t>
        </is>
      </c>
      <c r="I35" s="29" t="inlineStr">
        <is>
          <t>https://peptide.promo/</t>
        </is>
      </c>
    </row>
    <row r="36">
      <c r="A36" s="26" t="inlineStr">
        <is>
          <t>H</t>
        </is>
      </c>
      <c r="B36" s="26" t="inlineStr">
        <is>
          <t>HGH 191AA</t>
        </is>
      </c>
      <c r="C36" s="26" t="inlineStr">
        <is>
          <t>FITNESS</t>
        </is>
      </c>
      <c r="D36" s="26" t="inlineStr">
        <is>
          <t>iu</t>
        </is>
      </c>
      <c r="E36" s="27" t="n">
        <v>2.5</v>
      </c>
      <c r="F36" s="27" t="n">
        <v>4.5</v>
      </c>
      <c r="G36" s="13" t="inlineStr">
        <is>
          <t>D</t>
        </is>
      </c>
      <c r="H36" s="28" t="inlineStr">
        <is>
          <t>HGH 191AA por UI: 10 iu $25–45</t>
        </is>
      </c>
      <c r="I36" s="29" t="inlineStr">
        <is>
          <t>https://peptide.promo/</t>
        </is>
      </c>
    </row>
    <row r="37">
      <c r="A37" s="26" t="inlineStr">
        <is>
          <t>HX</t>
        </is>
      </c>
      <c r="B37" s="26" t="inlineStr">
        <is>
          <t>Hexarelin</t>
        </is>
      </c>
      <c r="C37" s="26" t="inlineStr">
        <is>
          <t>FITNESS</t>
        </is>
      </c>
      <c r="D37" s="26" t="inlineStr">
        <is>
          <t>mg</t>
        </is>
      </c>
      <c r="E37" s="27" t="n">
        <v>4.5</v>
      </c>
      <c r="F37" s="27" t="n">
        <v>10</v>
      </c>
      <c r="G37" s="13" t="inlineStr">
        <is>
          <t>D</t>
        </is>
      </c>
      <c r="H37" s="28" t="inlineStr">
        <is>
          <t>Clase secretagogos GH, prima por potencia y menor oferta</t>
        </is>
      </c>
      <c r="I37" s="29" t="inlineStr">
        <is>
          <t>https://peptide.promo/</t>
        </is>
      </c>
    </row>
    <row r="38">
      <c r="A38" s="26" t="inlineStr">
        <is>
          <t>IG</t>
        </is>
      </c>
      <c r="B38" s="26" t="inlineStr">
        <is>
          <t>IGF-1 LR3</t>
        </is>
      </c>
      <c r="C38" s="26" t="inlineStr">
        <is>
          <t>FITNESS</t>
        </is>
      </c>
      <c r="D38" s="26" t="inlineStr">
        <is>
          <t>mg</t>
        </is>
      </c>
      <c r="E38" s="27" t="n">
        <v>40</v>
      </c>
      <c r="F38" s="27" t="n">
        <v>80</v>
      </c>
      <c r="G38" s="13" t="inlineStr">
        <is>
          <t>D</t>
        </is>
      </c>
      <c r="H38" s="28" t="inlineStr">
        <is>
          <t>IGF-1 LR3: vial de 1 mg $40–80, mercado estrecho</t>
        </is>
      </c>
      <c r="I38" s="29" t="inlineStr">
        <is>
          <t>https://peptide.promo/</t>
        </is>
      </c>
    </row>
    <row r="39">
      <c r="A39" s="26" t="inlineStr">
        <is>
          <t>IPA</t>
        </is>
      </c>
      <c r="B39" s="26" t="inlineStr">
        <is>
          <t>Ipamorelin</t>
        </is>
      </c>
      <c r="C39" s="26" t="inlineStr">
        <is>
          <t>FITNESS</t>
        </is>
      </c>
      <c r="D39" s="26" t="inlineStr">
        <is>
          <t>mg</t>
        </is>
      </c>
      <c r="E39" s="27" t="n">
        <v>4</v>
      </c>
      <c r="F39" s="27" t="n">
        <v>9</v>
      </c>
      <c r="G39" s="13" t="inlineStr">
        <is>
          <t>D</t>
        </is>
      </c>
      <c r="H39" s="28" t="inlineStr">
        <is>
          <t>Clase secretagogos GH: vial 5 mg $20–45 (peptidepros, directpeptides)</t>
        </is>
      </c>
      <c r="I39" s="29" t="inlineStr">
        <is>
          <t>https://www.peptidepros.net/</t>
        </is>
      </c>
    </row>
    <row r="40">
      <c r="A40" s="26" t="inlineStr">
        <is>
          <t>LC</t>
        </is>
      </c>
      <c r="B40" s="26" t="inlineStr">
        <is>
          <t>L-Carnitine</t>
        </is>
      </c>
      <c r="C40" s="26" t="inlineStr">
        <is>
          <t>FITNESS</t>
        </is>
      </c>
      <c r="D40" s="26" t="inlineStr">
        <is>
          <t>mg</t>
        </is>
      </c>
      <c r="E40" s="27" t="n">
        <v>0.04</v>
      </c>
      <c r="F40" s="27" t="n">
        <v>0.075</v>
      </c>
      <c r="G40" s="13" t="inlineStr">
        <is>
          <t>D</t>
        </is>
      </c>
      <c r="H40" s="28" t="inlineStr">
        <is>
          <t>L-Carnitina: 600 mg $25–45, es materia prima</t>
        </is>
      </c>
      <c r="I40" s="29" t="inlineStr">
        <is>
          <t>https://peptide.promo/</t>
        </is>
      </c>
    </row>
    <row r="41">
      <c r="A41" s="26" t="inlineStr">
        <is>
          <t>MIC</t>
        </is>
      </c>
      <c r="B41" s="26" t="inlineStr">
        <is>
          <t>Lipo-C + B12</t>
        </is>
      </c>
      <c r="C41" s="26" t="inlineStr">
        <is>
          <t>FITNESS</t>
        </is>
      </c>
      <c r="D41" s="26" t="inlineStr">
        <is>
          <t>ml</t>
        </is>
      </c>
      <c r="E41" s="27" t="n">
        <v>6</v>
      </c>
      <c r="F41" s="27" t="n">
        <v>12</v>
      </c>
      <c r="G41" s="13" t="inlineStr">
        <is>
          <t>D</t>
        </is>
      </c>
      <c r="H41" s="28" t="inlineStr">
        <is>
          <t>Lipo-C + B12 por ml: vial de 10 ml $60–120</t>
        </is>
      </c>
      <c r="I41" s="29" t="inlineStr">
        <is>
          <t>https://peptide.promo/</t>
        </is>
      </c>
    </row>
    <row r="42">
      <c r="A42" s="26" t="inlineStr">
        <is>
          <t>MS</t>
        </is>
      </c>
      <c r="B42" s="26" t="inlineStr">
        <is>
          <t>MOTS-c</t>
        </is>
      </c>
      <c r="C42" s="26" t="inlineStr">
        <is>
          <t>FITNESS</t>
        </is>
      </c>
      <c r="D42" s="26" t="inlineStr">
        <is>
          <t>mg</t>
        </is>
      </c>
      <c r="E42" s="27" t="n">
        <v>3</v>
      </c>
      <c r="F42" s="27" t="n">
        <v>5.5</v>
      </c>
      <c r="G42" s="13" t="inlineStr">
        <is>
          <t>D</t>
        </is>
      </c>
      <c r="H42" s="28" t="inlineStr">
        <is>
          <t>MOTS-c: 10 mg $30–55</t>
        </is>
      </c>
      <c r="I42" s="29" t="inlineStr">
        <is>
          <t>https://peptide.promo/</t>
        </is>
      </c>
    </row>
    <row r="43">
      <c r="A43" s="26" t="inlineStr">
        <is>
          <t>MZ</t>
        </is>
      </c>
      <c r="B43" s="26" t="inlineStr">
        <is>
          <t>Mazdutide</t>
        </is>
      </c>
      <c r="C43" s="26" t="inlineStr">
        <is>
          <t>FITNESS</t>
        </is>
      </c>
      <c r="D43" s="26" t="inlineStr">
        <is>
          <t>mg</t>
        </is>
      </c>
      <c r="E43" s="27" t="n">
        <v>5</v>
      </c>
      <c r="F43" s="27" t="n">
        <v>12</v>
      </c>
      <c r="G43" s="13" t="inlineStr">
        <is>
          <t>D</t>
        </is>
      </c>
      <c r="H43" s="28" t="inlineStr">
        <is>
          <t>Clase GLP-1 nueva (mazdutida): menos oferta que semaglutida</t>
        </is>
      </c>
      <c r="I43" s="29" t="inlineStr">
        <is>
          <t>https://peptide.promo/</t>
        </is>
      </c>
    </row>
    <row r="44">
      <c r="A44" s="26" t="inlineStr">
        <is>
          <t>RT</t>
        </is>
      </c>
      <c r="B44" s="26" t="inlineStr">
        <is>
          <t>Retatrutide</t>
        </is>
      </c>
      <c r="C44" s="26" t="inlineStr">
        <is>
          <t>FITNESS</t>
        </is>
      </c>
      <c r="D44" s="26" t="inlineStr">
        <is>
          <t>mg</t>
        </is>
      </c>
      <c r="E44" s="27" t="n">
        <v>4.8</v>
      </c>
      <c r="F44" s="27" t="n">
        <v>10</v>
      </c>
      <c r="G44" s="14" t="inlineStr">
        <is>
          <t>V</t>
        </is>
      </c>
      <c r="H44" s="28" t="inlineStr">
        <is>
          <t>peptilabresearch · retatrutida 10 mg $56.40; vial 5 mg $24–50</t>
        </is>
      </c>
      <c r="I44" s="29" t="inlineStr">
        <is>
          <t>https://peptilabresearch.com/shop/</t>
        </is>
      </c>
    </row>
    <row r="45">
      <c r="A45" s="26" t="inlineStr">
        <is>
          <t>2S</t>
        </is>
      </c>
      <c r="B45" s="26" t="inlineStr">
        <is>
          <t>SS-31</t>
        </is>
      </c>
      <c r="C45" s="26" t="inlineStr">
        <is>
          <t>FITNESS</t>
        </is>
      </c>
      <c r="D45" s="26" t="inlineStr">
        <is>
          <t>mg</t>
        </is>
      </c>
      <c r="E45" s="27" t="n">
        <v>4</v>
      </c>
      <c r="F45" s="27" t="n">
        <v>7</v>
      </c>
      <c r="G45" s="13" t="inlineStr">
        <is>
          <t>D</t>
        </is>
      </c>
      <c r="H45" s="28" t="inlineStr">
        <is>
          <t>SS-31: 10 mg $40–70</t>
        </is>
      </c>
      <c r="I45" s="29" t="inlineStr">
        <is>
          <t>https://peptide.promo/</t>
        </is>
      </c>
    </row>
    <row r="46">
      <c r="A46" s="26" t="inlineStr">
        <is>
          <t>SM</t>
        </is>
      </c>
      <c r="B46" s="26" t="inlineStr">
        <is>
          <t>Semaglutide</t>
        </is>
      </c>
      <c r="C46" s="26" t="inlineStr">
        <is>
          <t>FITNESS</t>
        </is>
      </c>
      <c r="D46" s="26" t="inlineStr">
        <is>
          <t>mg</t>
        </is>
      </c>
      <c r="E46" s="27" t="n">
        <v>2.75</v>
      </c>
      <c r="F46" s="27" t="n">
        <v>8</v>
      </c>
      <c r="G46" s="14" t="inlineStr">
        <is>
          <t>V</t>
        </is>
      </c>
      <c r="H46" s="28" t="inlineStr">
        <is>
          <t>peptide.promo · semaglutida desde $2.75/mg; vial 5 mg $20–40</t>
        </is>
      </c>
      <c r="I46" s="29" t="inlineStr">
        <is>
          <t>https://peptide.promo/</t>
        </is>
      </c>
    </row>
    <row r="47">
      <c r="A47" s="26" t="inlineStr">
        <is>
          <t>SMO</t>
        </is>
      </c>
      <c r="B47" s="26" t="inlineStr">
        <is>
          <t>Sermorelin</t>
        </is>
      </c>
      <c r="C47" s="26" t="inlineStr">
        <is>
          <t>FITNESS</t>
        </is>
      </c>
      <c r="D47" s="26" t="inlineStr">
        <is>
          <t>mg</t>
        </is>
      </c>
      <c r="E47" s="27" t="n">
        <v>4</v>
      </c>
      <c r="F47" s="27" t="n">
        <v>9</v>
      </c>
      <c r="G47" s="13" t="inlineStr">
        <is>
          <t>D</t>
        </is>
      </c>
      <c r="H47" s="28" t="inlineStr">
        <is>
          <t>Clase secretagogos GH</t>
        </is>
      </c>
      <c r="I47" s="29" t="inlineStr">
        <is>
          <t>https://peptide.promo/</t>
        </is>
      </c>
    </row>
    <row r="48">
      <c r="A48" s="26" t="inlineStr">
        <is>
          <t>TB</t>
        </is>
      </c>
      <c r="B48" s="26" t="inlineStr">
        <is>
          <t>TB-500</t>
        </is>
      </c>
      <c r="C48" s="26" t="inlineStr">
        <is>
          <t>FITNESS</t>
        </is>
      </c>
      <c r="D48" s="26" t="inlineStr">
        <is>
          <t>mg</t>
        </is>
      </c>
      <c r="E48" s="27" t="n">
        <v>3</v>
      </c>
      <c r="F48" s="27" t="n">
        <v>8</v>
      </c>
      <c r="G48" s="14" t="inlineStr">
        <is>
          <t>V</t>
        </is>
      </c>
      <c r="H48" s="28" t="inlineStr">
        <is>
          <t>peptilabresearch · TB-500 10 mg $29.99 (lista $49.99)</t>
        </is>
      </c>
      <c r="I48" s="29" t="inlineStr">
        <is>
          <t>https://peptilabresearch.com/shop/</t>
        </is>
      </c>
    </row>
    <row r="49">
      <c r="A49" s="26" t="inlineStr">
        <is>
          <t>TSM</t>
        </is>
      </c>
      <c r="B49" s="26" t="inlineStr">
        <is>
          <t>Tesamorelin</t>
        </is>
      </c>
      <c r="C49" s="26" t="inlineStr">
        <is>
          <t>FITNESS</t>
        </is>
      </c>
      <c r="D49" s="26" t="inlineStr">
        <is>
          <t>mg</t>
        </is>
      </c>
      <c r="E49" s="27" t="n">
        <v>4</v>
      </c>
      <c r="F49" s="27" t="n">
        <v>9</v>
      </c>
      <c r="G49" s="13" t="inlineStr">
        <is>
          <t>D</t>
        </is>
      </c>
      <c r="H49" s="28" t="inlineStr">
        <is>
          <t>Clase secretagogos GH</t>
        </is>
      </c>
      <c r="I49" s="29" t="inlineStr">
        <is>
          <t>https://peptide.promo/</t>
        </is>
      </c>
    </row>
    <row r="50">
      <c r="A50" s="26" t="inlineStr">
        <is>
          <t>TR</t>
        </is>
      </c>
      <c r="B50" s="26" t="inlineStr">
        <is>
          <t>Tirzepatide</t>
        </is>
      </c>
      <c r="C50" s="26" t="inlineStr">
        <is>
          <t>FITNESS</t>
        </is>
      </c>
      <c r="D50" s="26" t="inlineStr">
        <is>
          <t>mg</t>
        </is>
      </c>
      <c r="E50" s="27" t="n">
        <v>3.09</v>
      </c>
      <c r="F50" s="27" t="n">
        <v>9</v>
      </c>
      <c r="G50" s="14" t="inlineStr">
        <is>
          <t>V</t>
        </is>
      </c>
      <c r="H50" s="28" t="inlineStr">
        <is>
          <t>peptide.promo · tirzepatida desde $3.09/mg; vial 5 mg $20–45</t>
        </is>
      </c>
      <c r="I50" s="29" t="inlineStr">
        <is>
          <t>https://peptide.promo/</t>
        </is>
      </c>
    </row>
    <row r="51">
      <c r="A51" s="26" t="inlineStr">
        <is>
          <t>CTL</t>
        </is>
      </c>
      <c r="B51" s="26" t="inlineStr">
        <is>
          <t>Cartalax</t>
        </is>
      </c>
      <c r="C51" s="26" t="inlineStr">
        <is>
          <t>LONGEVITY</t>
        </is>
      </c>
      <c r="D51" s="26" t="inlineStr">
        <is>
          <t>mg</t>
        </is>
      </c>
      <c r="E51" s="27" t="n">
        <v>3.5</v>
      </c>
      <c r="F51" s="27" t="n">
        <v>6.5</v>
      </c>
      <c r="G51" s="13" t="inlineStr">
        <is>
          <t>D</t>
        </is>
      </c>
      <c r="H51" s="28" t="inlineStr">
        <is>
          <t>Bioreguladores (cartalax): 20 mg $70–130</t>
        </is>
      </c>
      <c r="I51" s="29" t="inlineStr">
        <is>
          <t>https://peptide.promo/</t>
        </is>
      </c>
    </row>
    <row r="52">
      <c r="A52" s="26" t="inlineStr">
        <is>
          <t>DS</t>
        </is>
      </c>
      <c r="B52" s="26" t="inlineStr">
        <is>
          <t>DSIP</t>
        </is>
      </c>
      <c r="C52" s="26" t="inlineStr">
        <is>
          <t>LONGEVITY</t>
        </is>
      </c>
      <c r="D52" s="26" t="inlineStr">
        <is>
          <t>mg</t>
        </is>
      </c>
      <c r="E52" s="27" t="n">
        <v>4</v>
      </c>
      <c r="F52" s="27" t="n">
        <v>7</v>
      </c>
      <c r="G52" s="13" t="inlineStr">
        <is>
          <t>D</t>
        </is>
      </c>
      <c r="H52" s="28" t="inlineStr">
        <is>
          <t>DSIP: 5 mg $20–35</t>
        </is>
      </c>
      <c r="I52" s="29" t="inlineStr">
        <is>
          <t>https://peptide.promo/</t>
        </is>
      </c>
    </row>
    <row r="53">
      <c r="A53" s="26" t="inlineStr">
        <is>
          <t>DX</t>
        </is>
      </c>
      <c r="B53" s="26" t="inlineStr">
        <is>
          <t>Dihexa</t>
        </is>
      </c>
      <c r="C53" s="26" t="inlineStr">
        <is>
          <t>LONGEVITY</t>
        </is>
      </c>
      <c r="D53" s="26" t="inlineStr">
        <is>
          <t>mg</t>
        </is>
      </c>
      <c r="E53" s="27" t="n">
        <v>8</v>
      </c>
      <c r="F53" s="27" t="n">
        <v>15</v>
      </c>
      <c r="G53" s="13" t="inlineStr">
        <is>
          <t>D</t>
        </is>
      </c>
      <c r="H53" s="28" t="inlineStr">
        <is>
          <t>Dihexa: 5 mg $40–75</t>
        </is>
      </c>
      <c r="I53" s="29" t="inlineStr">
        <is>
          <t>https://peptide.promo/</t>
        </is>
      </c>
    </row>
    <row r="54">
      <c r="A54" s="26" t="inlineStr">
        <is>
          <t>ET</t>
        </is>
      </c>
      <c r="B54" s="26" t="inlineStr">
        <is>
          <t>Epithalon</t>
        </is>
      </c>
      <c r="C54" s="26" t="inlineStr">
        <is>
          <t>LONGEVITY</t>
        </is>
      </c>
      <c r="D54" s="26" t="inlineStr">
        <is>
          <t>mg</t>
        </is>
      </c>
      <c r="E54" s="27" t="n">
        <v>1.38</v>
      </c>
      <c r="F54" s="27" t="n">
        <v>3</v>
      </c>
      <c r="G54" s="14" t="inlineStr">
        <is>
          <t>V</t>
        </is>
      </c>
      <c r="H54" s="28" t="inlineStr">
        <is>
          <t>peptilabresearch · epitalón 10 mg $13.79 (lista $22.99)</t>
        </is>
      </c>
      <c r="I54" s="29" t="inlineStr">
        <is>
          <t>https://peptilabresearch.com/shop/</t>
        </is>
      </c>
    </row>
    <row r="55">
      <c r="A55" s="26" t="inlineStr">
        <is>
          <t>F4</t>
        </is>
      </c>
      <c r="B55" s="26" t="inlineStr">
        <is>
          <t>FOXO4-DRI</t>
        </is>
      </c>
      <c r="C55" s="26" t="inlineStr">
        <is>
          <t>LONGEVITY</t>
        </is>
      </c>
      <c r="D55" s="26" t="inlineStr">
        <is>
          <t>mg</t>
        </is>
      </c>
      <c r="E55" s="27" t="n">
        <v>40</v>
      </c>
      <c r="F55" s="27" t="n">
        <v>75</v>
      </c>
      <c r="G55" s="13" t="inlineStr">
        <is>
          <t>D</t>
        </is>
      </c>
      <c r="H55" s="28" t="inlineStr">
        <is>
          <t>FOXO4-DRI: 2 mg $80–150, el más caro del catálogo</t>
        </is>
      </c>
      <c r="I55" s="29" t="inlineStr">
        <is>
          <t>https://peptide.promo/</t>
        </is>
      </c>
    </row>
    <row r="56">
      <c r="A56" s="26" t="inlineStr">
        <is>
          <t>KS</t>
        </is>
      </c>
      <c r="B56" s="26" t="inlineStr">
        <is>
          <t>KissPeptin-10</t>
        </is>
      </c>
      <c r="C56" s="26" t="inlineStr">
        <is>
          <t>LONGEVITY</t>
        </is>
      </c>
      <c r="D56" s="26" t="inlineStr">
        <is>
          <t>mg</t>
        </is>
      </c>
      <c r="E56" s="27" t="n">
        <v>5</v>
      </c>
      <c r="F56" s="27" t="n">
        <v>10</v>
      </c>
      <c r="G56" s="13" t="inlineStr">
        <is>
          <t>D</t>
        </is>
      </c>
      <c r="H56" s="28" t="inlineStr">
        <is>
          <t>Kisspeptina-10: 5 mg $25–50</t>
        </is>
      </c>
      <c r="I56" s="29" t="inlineStr">
        <is>
          <t>https://peptide.promo/</t>
        </is>
      </c>
    </row>
    <row r="57">
      <c r="A57" s="26" t="inlineStr">
        <is>
          <t>ML</t>
        </is>
      </c>
      <c r="B57" s="26" t="inlineStr">
        <is>
          <t>Melatonin</t>
        </is>
      </c>
      <c r="C57" s="26" t="inlineStr">
        <is>
          <t>LONGEVITY</t>
        </is>
      </c>
      <c r="D57" s="26" t="inlineStr">
        <is>
          <t>mg</t>
        </is>
      </c>
      <c r="E57" s="27" t="n">
        <v>1.5</v>
      </c>
      <c r="F57" s="27" t="n">
        <v>3</v>
      </c>
      <c r="G57" s="13" t="inlineStr">
        <is>
          <t>D</t>
        </is>
      </c>
      <c r="H57" s="28" t="inlineStr">
        <is>
          <t>Melatonina: 10 mg $15–30</t>
        </is>
      </c>
      <c r="I57" s="29" t="inlineStr">
        <is>
          <t>https://peptide.promo/</t>
        </is>
      </c>
    </row>
    <row r="58">
      <c r="A58" s="26" t="inlineStr">
        <is>
          <t>NJ</t>
        </is>
      </c>
      <c r="B58" s="26" t="inlineStr">
        <is>
          <t>NAD+</t>
        </is>
      </c>
      <c r="C58" s="26" t="inlineStr">
        <is>
          <t>LONGEVITY</t>
        </is>
      </c>
      <c r="D58" s="26" t="inlineStr">
        <is>
          <t>mg</t>
        </is>
      </c>
      <c r="E58" s="27" t="n">
        <v>0.14</v>
      </c>
      <c r="F58" s="27" t="n">
        <v>0.3</v>
      </c>
      <c r="G58" s="14" t="inlineStr">
        <is>
          <t>V</t>
        </is>
      </c>
      <c r="H58" s="28" t="inlineStr">
        <is>
          <t>peptide.promo · NAD+ ≈ $0.14/mg</t>
        </is>
      </c>
      <c r="I58" s="29" t="inlineStr">
        <is>
          <t>https://peptide.promo/</t>
        </is>
      </c>
    </row>
    <row r="59">
      <c r="A59" s="26" t="inlineStr">
        <is>
          <t>PI</t>
        </is>
      </c>
      <c r="B59" s="26" t="inlineStr">
        <is>
          <t>Pinealon</t>
        </is>
      </c>
      <c r="C59" s="26" t="inlineStr">
        <is>
          <t>LONGEVITY</t>
        </is>
      </c>
      <c r="D59" s="26" t="inlineStr">
        <is>
          <t>mg</t>
        </is>
      </c>
      <c r="E59" s="27" t="n">
        <v>5</v>
      </c>
      <c r="F59" s="27" t="n">
        <v>9</v>
      </c>
      <c r="G59" s="13" t="inlineStr">
        <is>
          <t>D</t>
        </is>
      </c>
      <c r="H59" s="28" t="inlineStr">
        <is>
          <t>Bioreguladores (pinealón): 10 mg $50–90</t>
        </is>
      </c>
      <c r="I59" s="29" t="inlineStr">
        <is>
          <t>https://peptide.promo/</t>
        </is>
      </c>
    </row>
    <row r="60">
      <c r="A60" s="26" t="inlineStr">
        <is>
          <t>SK</t>
        </is>
      </c>
      <c r="B60" s="26" t="inlineStr">
        <is>
          <t>Selank</t>
        </is>
      </c>
      <c r="C60" s="26" t="inlineStr">
        <is>
          <t>LONGEVITY</t>
        </is>
      </c>
      <c r="D60" s="26" t="inlineStr">
        <is>
          <t>mg</t>
        </is>
      </c>
      <c r="E60" s="27" t="n">
        <v>4</v>
      </c>
      <c r="F60" s="27" t="n">
        <v>8</v>
      </c>
      <c r="G60" s="13" t="inlineStr">
        <is>
          <t>D</t>
        </is>
      </c>
      <c r="H60" s="28" t="inlineStr">
        <is>
          <t>Nootrópicos peptídicos (selank): 5 mg $20–40</t>
        </is>
      </c>
      <c r="I60" s="29" t="inlineStr">
        <is>
          <t>https://peptide.promo/</t>
        </is>
      </c>
    </row>
    <row r="61">
      <c r="A61" s="26" t="inlineStr">
        <is>
          <t>SX</t>
        </is>
      </c>
      <c r="B61" s="26" t="inlineStr">
        <is>
          <t>Semax</t>
        </is>
      </c>
      <c r="C61" s="26" t="inlineStr">
        <is>
          <t>LONGEVITY</t>
        </is>
      </c>
      <c r="D61" s="26" t="inlineStr">
        <is>
          <t>mg</t>
        </is>
      </c>
      <c r="E61" s="27" t="n">
        <v>4</v>
      </c>
      <c r="F61" s="27" t="n">
        <v>8</v>
      </c>
      <c r="G61" s="13" t="inlineStr">
        <is>
          <t>D</t>
        </is>
      </c>
      <c r="H61" s="28" t="inlineStr">
        <is>
          <t>Nootrópicos peptídicos (semax): 5 mg $20–40</t>
        </is>
      </c>
      <c r="I61" s="29" t="inlineStr">
        <is>
          <t>https://peptide.promo/</t>
        </is>
      </c>
    </row>
    <row r="62">
      <c r="A62" s="26" t="inlineStr">
        <is>
          <t>TY</t>
        </is>
      </c>
      <c r="B62" s="26" t="inlineStr">
        <is>
          <t>Thymalin</t>
        </is>
      </c>
      <c r="C62" s="26" t="inlineStr">
        <is>
          <t>LONGEVITY</t>
        </is>
      </c>
      <c r="D62" s="26" t="inlineStr">
        <is>
          <t>mg</t>
        </is>
      </c>
      <c r="E62" s="27" t="n">
        <v>4.5</v>
      </c>
      <c r="F62" s="27" t="n">
        <v>8.5</v>
      </c>
      <c r="G62" s="13" t="inlineStr">
        <is>
          <t>D</t>
        </is>
      </c>
      <c r="H62" s="28" t="inlineStr">
        <is>
          <t>Timalina: 10 mg $45–85</t>
        </is>
      </c>
      <c r="I62" s="29" t="inlineStr">
        <is>
          <t>https://peptide.promo/</t>
        </is>
      </c>
    </row>
    <row r="63">
      <c r="A63" s="26" t="inlineStr">
        <is>
          <t>Ta1</t>
        </is>
      </c>
      <c r="B63" s="26" t="inlineStr">
        <is>
          <t>Thymosin Alpha-1</t>
        </is>
      </c>
      <c r="C63" s="26" t="inlineStr">
        <is>
          <t>LONGEVITY</t>
        </is>
      </c>
      <c r="D63" s="26" t="inlineStr">
        <is>
          <t>mg</t>
        </is>
      </c>
      <c r="E63" s="27" t="n">
        <v>7</v>
      </c>
      <c r="F63" s="27" t="n">
        <v>13</v>
      </c>
      <c r="G63" s="13" t="inlineStr">
        <is>
          <t>D</t>
        </is>
      </c>
      <c r="H63" s="28" t="inlineStr">
        <is>
          <t>Timosina alfa-1: 5 mg $35–65</t>
        </is>
      </c>
      <c r="I63" s="29" t="inlineStr">
        <is>
          <t>https://peptide.promo/</t>
        </is>
      </c>
    </row>
    <row r="64">
      <c r="A64" s="26" t="inlineStr">
        <is>
          <t>B12</t>
        </is>
      </c>
      <c r="B64" s="26" t="inlineStr">
        <is>
          <t>Vitamin B12</t>
        </is>
      </c>
      <c r="C64" s="26" t="inlineStr">
        <is>
          <t>LONGEVITY</t>
        </is>
      </c>
      <c r="D64" s="26" t="inlineStr">
        <is>
          <t>mg</t>
        </is>
      </c>
      <c r="E64" s="27" t="n">
        <v>15</v>
      </c>
      <c r="F64" s="27" t="n">
        <v>30</v>
      </c>
      <c r="G64" s="13" t="inlineStr">
        <is>
          <t>D</t>
        </is>
      </c>
      <c r="H64" s="28" t="inlineStr">
        <is>
          <t>Vitamina B12 por vial de 1 mg/ml: $15–30</t>
        </is>
      </c>
      <c r="I64" s="29" t="inlineStr">
        <is>
          <t>https://peptide.promo/</t>
        </is>
      </c>
    </row>
  </sheetData>
  <hyperlinks>
    <hyperlink xmlns:r="http://schemas.openxmlformats.org/officeDocument/2006/relationships" ref="I9" r:id="rId1"/>
    <hyperlink xmlns:r="http://schemas.openxmlformats.org/officeDocument/2006/relationships" ref="I10" r:id="rId2"/>
    <hyperlink xmlns:r="http://schemas.openxmlformats.org/officeDocument/2006/relationships" ref="I11" r:id="rId3"/>
    <hyperlink xmlns:r="http://schemas.openxmlformats.org/officeDocument/2006/relationships" ref="I12" r:id="rId4"/>
    <hyperlink xmlns:r="http://schemas.openxmlformats.org/officeDocument/2006/relationships" ref="I13" r:id="rId5"/>
    <hyperlink xmlns:r="http://schemas.openxmlformats.org/officeDocument/2006/relationships" ref="I14" r:id="rId6"/>
    <hyperlink xmlns:r="http://schemas.openxmlformats.org/officeDocument/2006/relationships" ref="I15" r:id="rId7"/>
    <hyperlink xmlns:r="http://schemas.openxmlformats.org/officeDocument/2006/relationships" ref="I16" r:id="rId8"/>
    <hyperlink xmlns:r="http://schemas.openxmlformats.org/officeDocument/2006/relationships" ref="I17" r:id="rId9"/>
    <hyperlink xmlns:r="http://schemas.openxmlformats.org/officeDocument/2006/relationships" ref="I18" r:id="rId10"/>
    <hyperlink xmlns:r="http://schemas.openxmlformats.org/officeDocument/2006/relationships" ref="I19" r:id="rId11"/>
    <hyperlink xmlns:r="http://schemas.openxmlformats.org/officeDocument/2006/relationships" ref="I20" r:id="rId12"/>
    <hyperlink xmlns:r="http://schemas.openxmlformats.org/officeDocument/2006/relationships" ref="I21" r:id="rId13"/>
    <hyperlink xmlns:r="http://schemas.openxmlformats.org/officeDocument/2006/relationships" ref="I22" r:id="rId14"/>
    <hyperlink xmlns:r="http://schemas.openxmlformats.org/officeDocument/2006/relationships" ref="I23" r:id="rId15"/>
    <hyperlink xmlns:r="http://schemas.openxmlformats.org/officeDocument/2006/relationships" ref="I24" r:id="rId16"/>
    <hyperlink xmlns:r="http://schemas.openxmlformats.org/officeDocument/2006/relationships" ref="I25" r:id="rId17"/>
    <hyperlink xmlns:r="http://schemas.openxmlformats.org/officeDocument/2006/relationships" ref="I26" r:id="rId18"/>
    <hyperlink xmlns:r="http://schemas.openxmlformats.org/officeDocument/2006/relationships" ref="I27" r:id="rId19"/>
    <hyperlink xmlns:r="http://schemas.openxmlformats.org/officeDocument/2006/relationships" ref="I28" r:id="rId20"/>
    <hyperlink xmlns:r="http://schemas.openxmlformats.org/officeDocument/2006/relationships" ref="I29" r:id="rId21"/>
    <hyperlink xmlns:r="http://schemas.openxmlformats.org/officeDocument/2006/relationships" ref="I30" r:id="rId22"/>
    <hyperlink xmlns:r="http://schemas.openxmlformats.org/officeDocument/2006/relationships" ref="I31" r:id="rId23"/>
    <hyperlink xmlns:r="http://schemas.openxmlformats.org/officeDocument/2006/relationships" ref="I32" r:id="rId24"/>
    <hyperlink xmlns:r="http://schemas.openxmlformats.org/officeDocument/2006/relationships" ref="I33" r:id="rId25"/>
    <hyperlink xmlns:r="http://schemas.openxmlformats.org/officeDocument/2006/relationships" ref="I34" r:id="rId26"/>
    <hyperlink xmlns:r="http://schemas.openxmlformats.org/officeDocument/2006/relationships" ref="I35" r:id="rId27"/>
    <hyperlink xmlns:r="http://schemas.openxmlformats.org/officeDocument/2006/relationships" ref="I36" r:id="rId28"/>
    <hyperlink xmlns:r="http://schemas.openxmlformats.org/officeDocument/2006/relationships" ref="I37" r:id="rId29"/>
    <hyperlink xmlns:r="http://schemas.openxmlformats.org/officeDocument/2006/relationships" ref="I38" r:id="rId30"/>
    <hyperlink xmlns:r="http://schemas.openxmlformats.org/officeDocument/2006/relationships" ref="I39" r:id="rId31"/>
    <hyperlink xmlns:r="http://schemas.openxmlformats.org/officeDocument/2006/relationships" ref="I40" r:id="rId32"/>
    <hyperlink xmlns:r="http://schemas.openxmlformats.org/officeDocument/2006/relationships" ref="I41" r:id="rId33"/>
    <hyperlink xmlns:r="http://schemas.openxmlformats.org/officeDocument/2006/relationships" ref="I42" r:id="rId34"/>
    <hyperlink xmlns:r="http://schemas.openxmlformats.org/officeDocument/2006/relationships" ref="I43" r:id="rId35"/>
    <hyperlink xmlns:r="http://schemas.openxmlformats.org/officeDocument/2006/relationships" ref="I44" r:id="rId36"/>
    <hyperlink xmlns:r="http://schemas.openxmlformats.org/officeDocument/2006/relationships" ref="I45" r:id="rId37"/>
    <hyperlink xmlns:r="http://schemas.openxmlformats.org/officeDocument/2006/relationships" ref="I46" r:id="rId38"/>
    <hyperlink xmlns:r="http://schemas.openxmlformats.org/officeDocument/2006/relationships" ref="I47" r:id="rId39"/>
    <hyperlink xmlns:r="http://schemas.openxmlformats.org/officeDocument/2006/relationships" ref="I48" r:id="rId40"/>
    <hyperlink xmlns:r="http://schemas.openxmlformats.org/officeDocument/2006/relationships" ref="I49" r:id="rId41"/>
    <hyperlink xmlns:r="http://schemas.openxmlformats.org/officeDocument/2006/relationships" ref="I50" r:id="rId42"/>
    <hyperlink xmlns:r="http://schemas.openxmlformats.org/officeDocument/2006/relationships" ref="I51" r:id="rId43"/>
    <hyperlink xmlns:r="http://schemas.openxmlformats.org/officeDocument/2006/relationships" ref="I52" r:id="rId44"/>
    <hyperlink xmlns:r="http://schemas.openxmlformats.org/officeDocument/2006/relationships" ref="I53" r:id="rId45"/>
    <hyperlink xmlns:r="http://schemas.openxmlformats.org/officeDocument/2006/relationships" ref="I54" r:id="rId46"/>
    <hyperlink xmlns:r="http://schemas.openxmlformats.org/officeDocument/2006/relationships" ref="I55" r:id="rId47"/>
    <hyperlink xmlns:r="http://schemas.openxmlformats.org/officeDocument/2006/relationships" ref="I56" r:id="rId48"/>
    <hyperlink xmlns:r="http://schemas.openxmlformats.org/officeDocument/2006/relationships" ref="I57" r:id="rId49"/>
    <hyperlink xmlns:r="http://schemas.openxmlformats.org/officeDocument/2006/relationships" ref="I58" r:id="rId50"/>
    <hyperlink xmlns:r="http://schemas.openxmlformats.org/officeDocument/2006/relationships" ref="I59" r:id="rId51"/>
    <hyperlink xmlns:r="http://schemas.openxmlformats.org/officeDocument/2006/relationships" ref="I60" r:id="rId52"/>
    <hyperlink xmlns:r="http://schemas.openxmlformats.org/officeDocument/2006/relationships" ref="I61" r:id="rId53"/>
    <hyperlink xmlns:r="http://schemas.openxmlformats.org/officeDocument/2006/relationships" ref="I62" r:id="rId54"/>
    <hyperlink xmlns:r="http://schemas.openxmlformats.org/officeDocument/2006/relationships" ref="I63" r:id="rId55"/>
    <hyperlink xmlns:r="http://schemas.openxmlformats.org/officeDocument/2006/relationships" ref="I64" r:id="rId5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D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78" customWidth="1" min="3" max="3"/>
    <col width="60" customWidth="1" min="4" max="4"/>
  </cols>
  <sheetData>
    <row r="2">
      <c r="B2" s="5" t="inlineStr">
        <is>
          <t>FUENTES</t>
        </is>
      </c>
    </row>
    <row r="3">
      <c r="B3" s="6" t="inlineStr">
        <is>
          <t>Cada enlace consultado y qué dato salió de él.  Consultado el 03.08.2026.  Los precios de este mercado se mueven semana a semana: conviene volver cada trimestre.</t>
        </is>
      </c>
    </row>
    <row r="5" ht="30" customHeight="1">
      <c r="A5" s="7" t="inlineStr">
        <is>
          <t>MERCADO</t>
        </is>
      </c>
      <c r="B5" s="7" t="inlineStr">
        <is>
          <t>FUENTE</t>
        </is>
      </c>
      <c r="C5" s="7" t="inlineStr">
        <is>
          <t>QUÉ DATO DIO</t>
        </is>
      </c>
      <c r="D5" s="7" t="inlineStr">
        <is>
          <t>ENLACE</t>
        </is>
      </c>
    </row>
    <row r="6">
      <c r="A6" s="26" t="inlineStr">
        <is>
          <t>USA</t>
        </is>
      </c>
      <c r="B6" s="26" t="inlineStr">
        <is>
          <t>peptide.promo</t>
        </is>
      </c>
      <c r="C6" s="28" t="inlineStr">
        <is>
          <t>Comparador $/mg. Semaglutida $2.75/mg · tirzepatida $3.09/mg · BPC-157 $2.46/mg · GHK-Cu $0.50/mg · NAD+ $0.14/mg</t>
        </is>
      </c>
      <c r="D6" s="30" t="inlineStr">
        <is>
          <t>https://peptide.promo/</t>
        </is>
      </c>
    </row>
    <row r="7">
      <c r="A7" s="26" t="inlineStr">
        <is>
          <t>USA</t>
        </is>
      </c>
      <c r="B7" s="26" t="inlineStr">
        <is>
          <t>PeptidesExplorer</t>
        </is>
      </c>
      <c r="C7" s="28" t="inlineStr">
        <is>
          <t>Rangos por vial: semaglutida 5 mg $20–40 · tirzepatida 5 mg $20–45 · retatrutida 5 mg $24–50 · BPC-157 5 mg $20–35 · GHK-Cu 50 mg $20–40</t>
        </is>
      </c>
      <c r="D7" s="30" t="inlineStr">
        <is>
          <t>https://peptidesexplorer.com/blog/how-much-do-peptides-cost</t>
        </is>
      </c>
    </row>
    <row r="8">
      <c r="A8" s="26" t="inlineStr">
        <is>
          <t>USA</t>
        </is>
      </c>
      <c r="B8" s="26" t="inlineStr">
        <is>
          <t>PeptiLab Research</t>
        </is>
      </c>
      <c r="C8" s="28" t="inlineStr">
        <is>
          <t>BPC-157 10 mg $22.79 · TB-500 10 mg $29.99 · epitalón 10 mg $13.79 · retatrutida 10 mg $56.40 (con descuento)</t>
        </is>
      </c>
      <c r="D8" s="30" t="inlineStr">
        <is>
          <t>https://peptilabresearch.com/shop/</t>
        </is>
      </c>
    </row>
    <row r="9">
      <c r="A9" s="26" t="inlineStr">
        <is>
          <t>USA</t>
        </is>
      </c>
      <c r="B9" s="26" t="inlineStr">
        <is>
          <t>peptideprices.net</t>
        </is>
      </c>
      <c r="C9" s="28" t="inlineStr">
        <is>
          <t>Comparador $/10 mg sobre 51 vendedores, con COA y fecha de comprobación por listado</t>
        </is>
      </c>
      <c r="D9" s="30" t="inlineStr">
        <is>
          <t>https://peptideprices.net/</t>
        </is>
      </c>
    </row>
    <row r="10">
      <c r="A10" s="26" t="inlineStr">
        <is>
          <t>USA</t>
        </is>
      </c>
      <c r="B10" s="26" t="inlineStr">
        <is>
          <t>PepsTracker</t>
        </is>
      </c>
      <c r="C10" s="28" t="inlineStr">
        <is>
          <t>Comparador sobre 24 vendedores; volatilidad semanal de tirzepatida y retatrutida</t>
        </is>
      </c>
      <c r="D10" s="30" t="inlineStr">
        <is>
          <t>https://pepstracker.com/</t>
        </is>
      </c>
    </row>
    <row r="11">
      <c r="A11" s="26" t="inlineStr">
        <is>
          <t>USA</t>
        </is>
      </c>
      <c r="B11" s="26" t="inlineStr">
        <is>
          <t>The Peptide Catalog</t>
        </is>
      </c>
      <c r="C11" s="28" t="inlineStr">
        <is>
          <t>Índice de precios trimestral, tendencia a 90 días</t>
        </is>
      </c>
      <c r="D11" s="30" t="inlineStr">
        <is>
          <t>https://thepeptidecatalog.com/articles/peptide-pricing-report-q1-2026</t>
        </is>
      </c>
    </row>
    <row r="12">
      <c r="A12" s="26" t="inlineStr">
        <is>
          <t>USA</t>
        </is>
      </c>
      <c r="B12" s="26" t="inlineStr">
        <is>
          <t>PeptideDeck</t>
        </is>
      </c>
      <c r="C12" s="28" t="inlineStr">
        <is>
          <t>BPC-157 $49–100 por vial en 2026; $5–8/mg de vendedor legítimo; por debajo de $3/mg es señal de alarma</t>
        </is>
      </c>
      <c r="D12" s="30" t="inlineStr">
        <is>
          <t>https://www.peptidedeck.com/blog/bpc-157-for-sale</t>
        </is>
      </c>
    </row>
    <row r="13">
      <c r="A13" s="26" t="inlineStr">
        <is>
          <t>USA</t>
        </is>
      </c>
      <c r="B13" s="26" t="inlineStr">
        <is>
          <t>Biotech Peptides</t>
        </is>
      </c>
      <c r="C13" s="28" t="inlineStr">
        <is>
          <t>Precio de lista de BPC-157 5 mg y mezcla CJC-1295 + Ipamorelina 10 mg</t>
        </is>
      </c>
      <c r="D13" s="30" t="inlineStr">
        <is>
          <t>https://biotechpeptides.com/product/bpc-157/</t>
        </is>
      </c>
    </row>
    <row r="14">
      <c r="A14" s="26" t="inlineStr">
        <is>
          <t>USA</t>
        </is>
      </c>
      <c r="B14" s="26" t="inlineStr">
        <is>
          <t>Nationwide Peptides</t>
        </is>
      </c>
      <c r="C14" s="28" t="inlineStr">
        <is>
          <t>Melanotán 2: $22–30 y $47–64 según presentación</t>
        </is>
      </c>
      <c r="D14" s="30" t="inlineStr">
        <is>
          <t>https://www.nationwidepeptides.com/products/melanotan-2/</t>
        </is>
      </c>
    </row>
    <row r="15">
      <c r="A15" s="26" t="inlineStr">
        <is>
          <t>USA</t>
        </is>
      </c>
      <c r="B15" s="26" t="inlineStr">
        <is>
          <t>NEXAPH</t>
        </is>
      </c>
      <c r="C15" s="28" t="inlineStr">
        <is>
          <t>PT-141 $160 — techo del mercado, útil como referencia superior</t>
        </is>
      </c>
      <c r="D15" s="30" t="inlineStr">
        <is>
          <t>https://nexaph.com/</t>
        </is>
      </c>
    </row>
    <row r="16">
      <c r="A16" s="26" t="inlineStr">
        <is>
          <t>USA</t>
        </is>
      </c>
      <c r="B16" s="26" t="inlineStr">
        <is>
          <t>Peptide Pros</t>
        </is>
      </c>
      <c r="C16" s="28" t="inlineStr">
        <is>
          <t>Catálogo de secretagogos GH: GHRP-2 5 mg, GHRP-6 5 mg, hexarelina 2 mg, ipamorelina 2 mg, sermorelina 2 mg, tesamorelina 5 mg</t>
        </is>
      </c>
      <c r="D16" s="30" t="inlineStr">
        <is>
          <t>https://www.peptidepros.net/</t>
        </is>
      </c>
    </row>
    <row r="17">
      <c r="A17" s="26" t="inlineStr">
        <is>
          <t>USA</t>
        </is>
      </c>
      <c r="B17" s="26" t="inlineStr">
        <is>
          <t>Direct Peptides</t>
        </is>
      </c>
      <c r="C17" s="28" t="inlineStr">
        <is>
          <t>Catálogo de secretagogos y de la línea estética (GHK-Cu, KPV, melanotán 2, oxitocina, PT-141)</t>
        </is>
      </c>
      <c r="D17" s="30" t="inlineStr">
        <is>
          <t>https://directpeptides.com/products</t>
        </is>
      </c>
    </row>
    <row r="18">
      <c r="A18" s="26" t="inlineStr">
        <is>
          <t>USA</t>
        </is>
      </c>
      <c r="B18" s="26" t="inlineStr">
        <is>
          <t>Limitless Labs</t>
        </is>
      </c>
      <c r="C18" s="28" t="inlineStr">
        <is>
          <t>Kits: semaglutida desde $153.13 (5–30 mg) · tirzepatida desde $175 (5–60 mg) · retatrutida desde $218.75 (5–60 mg)</t>
        </is>
      </c>
      <c r="D18" s="30" t="inlineStr">
        <is>
          <t>https://www.limitlesslabs.us/us</t>
        </is>
      </c>
    </row>
    <row r="19">
      <c r="A19" s="26" t="inlineStr">
        <is>
          <t>México</t>
        </is>
      </c>
      <c r="B19" s="26" t="inlineStr">
        <is>
          <t>EXOMA Peptides</t>
        </is>
      </c>
      <c r="C19" s="28" t="inlineStr">
        <is>
          <t>Epitalón $700 · GHK-Cu $520 · BPC-157 desde $610 · BPC-157+TB-500 $1,399 · GLOW $2,090 · BPC+TB+KPV $2,999 MXN</t>
        </is>
      </c>
      <c r="D19" s="30" t="inlineStr">
        <is>
          <t>https://exomapeptides.mx/comprar-peptidos-mexico</t>
        </is>
      </c>
    </row>
    <row r="20">
      <c r="A20" s="26" t="inlineStr">
        <is>
          <t>México</t>
        </is>
      </c>
      <c r="B20" s="26" t="inlineStr">
        <is>
          <t>ZELARA</t>
        </is>
      </c>
      <c r="C20" s="28" t="inlineStr">
        <is>
          <t>BPC-157 5 mg $673 MXN · TB-500 5 mg $1,449 MXN, ambos con COA por lote</t>
        </is>
      </c>
      <c r="D20" s="30" t="inlineStr">
        <is>
          <t>https://zelara.com.mx/productos</t>
        </is>
      </c>
    </row>
    <row r="21">
      <c r="A21" s="26" t="inlineStr">
        <is>
          <t>México</t>
        </is>
      </c>
      <c r="B21" s="26" t="inlineStr">
        <is>
          <t>ViuPeptides</t>
        </is>
      </c>
      <c r="C21" s="28" t="inlineStr">
        <is>
          <t>Catálogo MX con precios en pesos: tirzepatida, retatrutida, GHK-Cu, BPC-157, TB-500</t>
        </is>
      </c>
      <c r="D21" s="30" t="inlineStr">
        <is>
          <t>https://viupeptides.com.mx/comprar-peptidos-mexico/</t>
        </is>
      </c>
    </row>
    <row r="22">
      <c r="A22" s="26" t="inlineStr">
        <is>
          <t>México</t>
        </is>
      </c>
      <c r="B22" s="26" t="inlineStr">
        <is>
          <t>Singular Biotech</t>
        </is>
      </c>
      <c r="C22" s="28" t="inlineStr">
        <is>
          <t>Catálogo MX: BPC-157, TB-500, NAD+, GHK-Cu, MOTS-c</t>
        </is>
      </c>
      <c r="D22" s="30" t="inlineStr">
        <is>
          <t>https://singularbiotech.mx/</t>
        </is>
      </c>
    </row>
    <row r="23">
      <c r="A23" s="26" t="inlineStr">
        <is>
          <t>México</t>
        </is>
      </c>
      <c r="B23" s="26" t="inlineStr">
        <is>
          <t>NutricostMx</t>
        </is>
      </c>
      <c r="C23" s="28" t="inlineStr">
        <is>
          <t>Catálogo MX 99 % pureza, envío gratis desde $2,499 MXN</t>
        </is>
      </c>
      <c r="D23" s="30" t="inlineStr">
        <is>
          <t>https://nutricost.com.mx/</t>
        </is>
      </c>
    </row>
    <row r="24">
      <c r="A24" s="26" t="inlineStr">
        <is>
          <t>México</t>
        </is>
      </c>
      <c r="B24" s="26" t="inlineStr">
        <is>
          <t>peptido.info</t>
        </is>
      </c>
      <c r="C24" s="28" t="inlineStr">
        <is>
          <t>Referencia de mercado MX: USD 30–60 por vial de 5 mg importado, o MXN 500–1,000 por vial</t>
        </is>
      </c>
      <c r="D24" s="30" t="inlineStr">
        <is>
          <t>https://peptido.info/peptidos-en-mexico-donde-comprarlos-y-cuales-hay-disponibles/</t>
        </is>
      </c>
    </row>
    <row r="25">
      <c r="A25" s="26" t="inlineStr">
        <is>
          <t>México</t>
        </is>
      </c>
      <c r="B25" s="26" t="inlineStr">
        <is>
          <t>exomapeptides.mx — retatrutida</t>
        </is>
      </c>
      <c r="C25" s="28" t="inlineStr">
        <is>
          <t>Retatrutida $960 MXN; otra fuente MX la sitúa desde $1,700</t>
        </is>
      </c>
      <c r="D25" s="30" t="inlineStr">
        <is>
          <t>https://exomapeptides.mx/producto/retatrutida</t>
        </is>
      </c>
    </row>
    <row r="26">
      <c r="A26" s="26" t="inlineStr">
        <is>
          <t>Tipo de cambio</t>
        </is>
      </c>
      <c r="B26" s="26" t="inlineStr">
        <is>
          <t>Investing.com</t>
        </is>
      </c>
      <c r="C26" s="28" t="inlineStr">
        <is>
          <t>USD/MXN 17.35 al cierre consultado; media 2026 ≈ 17.47. En el libro se usa 17.50</t>
        </is>
      </c>
      <c r="D26" s="30" t="inlineStr">
        <is>
          <t>https://es.investing.com/currencies/usd-mxn-historical-data</t>
        </is>
      </c>
    </row>
    <row r="28">
      <c r="B28" s="24" t="inlineStr">
        <is>
          <t>NOTA SOBRE EL MÉTODO</t>
        </is>
      </c>
    </row>
    <row r="29" ht="32" customHeight="1">
      <c r="B29" s="4" t="inlineStr">
        <is>
          <t>·  El acceso directo a las tiendas está bloqueado desde el entorno donde se generó esto, así que los precios se triangularon con buscador sobre varios comparadores y fichas de producto en lugar de leerse de la tienda una por una.</t>
        </is>
      </c>
    </row>
    <row r="30" ht="32" customHeight="1">
      <c r="B30" s="4" t="inlineStr">
        <is>
          <t>·  Por eso BANDAS separa V de D en vez de dar todo por igual: donde hay una cifra publicada para ese compuesto se marca V; donde no la hay, se usa la banda de su clase y se marca D.</t>
        </is>
      </c>
    </row>
    <row r="31" ht="32" customHeight="1">
      <c r="B31" s="4" t="inlineStr">
        <is>
          <t>·  Antes de fijar precio en los diez compuestos que más vendas, conviene abrir esos enlaces y confirmar el número del día. Son diez comprobaciones, no ciento dieciocho.</t>
        </is>
      </c>
    </row>
  </sheetData>
  <mergeCells count="3">
    <mergeCell ref="B29:D29"/>
    <mergeCell ref="B30:D30"/>
    <mergeCell ref="B31:D3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2026-08-03T03:50:22Z</dcterms:created>
  <dcterms:modified xmlns:dcterms="http://purl.org/dc/terms/" xmlns:xsi="http://www.w3.org/2001/XMLSchema-instance" xsi:type="dcterms:W3CDTF">2026-08-03T03:50:22Z</dcterms:modified>
</cp:coreProperties>
</file>