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MÉXICO" sheetId="2" state="visible" r:id="rId2"/>
    <sheet xmlns:r="http://schemas.openxmlformats.org/officeDocument/2006/relationships" name="USA" sheetId="3" state="visible" r:id="rId3"/>
    <sheet xmlns:r="http://schemas.openxmlformats.org/officeDocument/2006/relationships" name="BANDAS" sheetId="4" state="visible" r:id="rId4"/>
    <sheet xmlns:r="http://schemas.openxmlformats.org/officeDocument/2006/relationships" name="FUENTES" sheetId="5" state="visible" r:id="rId5"/>
  </sheets>
  <definedNames>
    <definedName name="_xlnm._FilterDatabase" localSheetId="1" hidden="1">'MÉXICO'!$A$5:$N$123</definedName>
    <definedName name="_xlnm._FilterDatabase" localSheetId="2" hidden="1">'USA'!$A$5:$L$123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#,##0.###"/>
    <numFmt numFmtId="166" formatCode="&quot;$&quot;#,##0"/>
  </numFmts>
  <fonts count="10">
    <font>
      <name val="Calibri"/>
      <family val="2"/>
      <color theme="1"/>
      <sz val="11"/>
      <scheme val="minor"/>
    </font>
    <font>
      <name val="Arial"/>
      <b val="1"/>
      <color rgb="001A1D23"/>
      <sz val="16"/>
    </font>
    <font>
      <name val="Arial"/>
      <color rgb="005F6875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9"/>
    </font>
    <font>
      <name val="Arial"/>
      <b val="1"/>
      <color rgb="008A6D3B"/>
      <sz val="10"/>
    </font>
    <font>
      <name val="Arial"/>
      <b val="1"/>
      <color rgb="002F7A3D"/>
      <sz val="10"/>
    </font>
    <font>
      <name val="Arial"/>
      <color rgb="001E5EFF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6CC"/>
      </patternFill>
    </fill>
    <fill>
      <patternFill patternType="solid">
        <fgColor rgb="001A1D23"/>
      </patternFill>
    </fill>
  </fills>
  <borders count="2">
    <border>
      <left/>
      <right/>
      <top/>
      <bottom/>
      <diagonal/>
    </border>
    <border>
      <bottom style="thin">
        <color rgb="00DDE2E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6" fillId="3" borderId="0" applyAlignment="1" pivotButton="0" quotePrefix="0" xfId="0">
      <alignment horizontal="left" vertical="center" wrapText="1"/>
    </xf>
    <xf numFmtId="0" fontId="4" fillId="0" borderId="1" pivotButton="0" quotePrefix="0" xfId="0"/>
    <xf numFmtId="165" fontId="4" fillId="0" borderId="1" pivotButton="0" quotePrefix="0" xfId="0"/>
    <xf numFmtId="166" fontId="5" fillId="0" borderId="1" pivotButton="0" quotePrefix="0" xfId="0"/>
    <xf numFmtId="166" fontId="4" fillId="0" borderId="1" pivotButton="0" quotePrefix="0" xfId="0"/>
    <xf numFmtId="166" fontId="3" fillId="2" borderId="1" pivotButton="0" quotePrefix="0" xfId="0"/>
    <xf numFmtId="164" fontId="4" fillId="0" borderId="1" pivotButton="0" quotePrefix="0" xfId="0"/>
    <xf numFmtId="0" fontId="4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166" fontId="3" fillId="0" borderId="0" pivotButton="0" quotePrefix="0" xfId="0"/>
    <xf numFmtId="164" fontId="5" fillId="0" borderId="1" pivotButton="0" quotePrefix="0" xfId="0"/>
    <xf numFmtId="164" fontId="3" fillId="2" borderId="1" pivotButton="0" quotePrefix="0" xfId="0"/>
    <xf numFmtId="164" fontId="3" fillId="0" borderId="0" pivotButton="0" quotePrefix="0" xfId="0"/>
    <xf numFmtId="2" fontId="5" fillId="2" borderId="0" pivotButton="0" quotePrefix="0" xfId="0"/>
    <xf numFmtId="0" fontId="4" fillId="0" borderId="1" applyAlignment="1" pivotButton="0" quotePrefix="0" xfId="0">
      <alignment vertical="top"/>
    </xf>
    <xf numFmtId="164" fontId="5" fillId="2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peptide.promo/" TargetMode="External" Id="rId1"/><Relationship Type="http://schemas.openxmlformats.org/officeDocument/2006/relationships/hyperlink" Target="https://peptidesexplorer.com/blog/how-much-do-peptides-cost" TargetMode="External" Id="rId2"/><Relationship Type="http://schemas.openxmlformats.org/officeDocument/2006/relationships/hyperlink" Target="https://peptilabresearch.com/shop/" TargetMode="External" Id="rId3"/><Relationship Type="http://schemas.openxmlformats.org/officeDocument/2006/relationships/hyperlink" Target="https://peptideprices.net/" TargetMode="External" Id="rId4"/><Relationship Type="http://schemas.openxmlformats.org/officeDocument/2006/relationships/hyperlink" Target="https://pepstracker.com/" TargetMode="External" Id="rId5"/><Relationship Type="http://schemas.openxmlformats.org/officeDocument/2006/relationships/hyperlink" Target="https://thepeptidecatalog.com/articles/peptide-pricing-report-q1-2026" TargetMode="External" Id="rId6"/><Relationship Type="http://schemas.openxmlformats.org/officeDocument/2006/relationships/hyperlink" Target="https://www.peptidedeck.com/blog/bpc-157-for-sale" TargetMode="External" Id="rId7"/><Relationship Type="http://schemas.openxmlformats.org/officeDocument/2006/relationships/hyperlink" Target="https://biotechpeptides.com/product/bpc-157/" TargetMode="External" Id="rId8"/><Relationship Type="http://schemas.openxmlformats.org/officeDocument/2006/relationships/hyperlink" Target="https://www.nationwidepeptides.com/products/melanotan-2/" TargetMode="External" Id="rId9"/><Relationship Type="http://schemas.openxmlformats.org/officeDocument/2006/relationships/hyperlink" Target="https://nexaph.com/" TargetMode="External" Id="rId10"/><Relationship Type="http://schemas.openxmlformats.org/officeDocument/2006/relationships/hyperlink" Target="https://www.peptidepros.net/" TargetMode="External" Id="rId11"/><Relationship Type="http://schemas.openxmlformats.org/officeDocument/2006/relationships/hyperlink" Target="https://directpeptides.com/products" TargetMode="External" Id="rId12"/><Relationship Type="http://schemas.openxmlformats.org/officeDocument/2006/relationships/hyperlink" Target="https://www.limitlesslabs.us/us" TargetMode="External" Id="rId13"/><Relationship Type="http://schemas.openxmlformats.org/officeDocument/2006/relationships/hyperlink" Target="https://exomapeptides.mx/comprar-peptidos-mexico" TargetMode="External" Id="rId14"/><Relationship Type="http://schemas.openxmlformats.org/officeDocument/2006/relationships/hyperlink" Target="https://zelara.com.mx/productos" TargetMode="External" Id="rId15"/><Relationship Type="http://schemas.openxmlformats.org/officeDocument/2006/relationships/hyperlink" Target="https://viupeptides.com.mx/comprar-peptidos-mexico/" TargetMode="External" Id="rId16"/><Relationship Type="http://schemas.openxmlformats.org/officeDocument/2006/relationships/hyperlink" Target="https://singularbiotech.mx/" TargetMode="External" Id="rId17"/><Relationship Type="http://schemas.openxmlformats.org/officeDocument/2006/relationships/hyperlink" Target="https://nutricost.com.mx/" TargetMode="External" Id="rId18"/><Relationship Type="http://schemas.openxmlformats.org/officeDocument/2006/relationships/hyperlink" Target="https://peptido.info/peptidos-en-mexico-donde-comprarlos-y-cuales-hay-disponibles/" TargetMode="External" Id="rId19"/><Relationship Type="http://schemas.openxmlformats.org/officeDocument/2006/relationships/hyperlink" Target="https://exomapeptides.mx/producto/retatrutida" TargetMode="External" Id="rId20"/><Relationship Type="http://schemas.openxmlformats.org/officeDocument/2006/relationships/hyperlink" Target="https://es.investing.com/currencies/usd-mxn-historical-data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 ht="24" customHeight="1">
      <c r="B2" s="1" t="inlineStr">
        <is>
          <t>PEPTIDEX · ESTUDIO DE MERCADO DE PRECIOS DE VENTA</t>
        </is>
      </c>
    </row>
    <row r="3" ht="32" customHeight="1">
      <c r="B3" s="2" t="inlineStr">
        <is>
          <t>Las 118 presentaciones del catálogo, con el precio al que el mercado las vende hoy y el precio al que conviene venderlas.  02.08.2026</t>
        </is>
      </c>
    </row>
    <row r="5">
      <c r="B5" s="3" t="inlineStr">
        <is>
          <t>QUÉ HAY EN CADA HOJA</t>
        </is>
      </c>
    </row>
    <row r="6">
      <c r="B6" s="4" t="inlineStr">
        <is>
          <t>MÉXICO   ·  las 118 presentaciones en pesos.  La columna amarilla, PRECIO SUGERIDO, es la respuesta.</t>
        </is>
      </c>
    </row>
    <row r="7">
      <c r="B7" s="4" t="inlineStr">
        <is>
          <t>USA      ·  las mismas 118 en dólares.</t>
        </is>
      </c>
    </row>
    <row r="8" ht="28" customHeight="1">
      <c r="B8" s="4" t="inlineStr">
        <is>
          <t>BANDAS   ·  el motor.  La banda de precio por unidad de cada compuesto, con su fuente.  Cambiar un número aquí actualiza las dos hojas de arriba.</t>
        </is>
      </c>
    </row>
    <row r="9">
      <c r="B9" s="4" t="inlineStr">
        <is>
          <t>FUENTES  ·  cada enlace consultado y qué dato salió de él.</t>
        </is>
      </c>
    </row>
    <row r="11">
      <c r="B11" s="3" t="inlineStr">
        <is>
          <t>CÓMO SE LLEGA AL PRECIO SUGERIDO</t>
        </is>
      </c>
    </row>
    <row r="12" ht="28" customHeight="1">
      <c r="B12" s="4" t="inlineStr">
        <is>
          <t>1 ·  Se busca el precio real de cada compuesto en el mercado y se expresa por unidad — por mg casi siempre, por UI en la hormona de crecimiento y por ml en el lipotrópico.</t>
        </is>
      </c>
    </row>
    <row r="13" ht="28" customHeight="1">
      <c r="B13" s="4" t="inlineStr">
        <is>
          <t>2 ·  Esa banda por unidad se multiplica por la cantidad de cada presentación.  Así el vial de 20 mg sale del mismo número que el de 5 mg, que es como se comporta el mercado.</t>
        </is>
      </c>
    </row>
    <row r="14" ht="28" customHeight="1">
      <c r="B14" s="4" t="inlineStr">
        <is>
          <t>3 ·  El sugerido es el punto medio de la banda, redondeado.  Ni el suelo — que es guerra de precio — ni el techo, que sólo lo sostiene una marca ya conocida.</t>
        </is>
      </c>
    </row>
    <row r="16">
      <c r="B16" s="3" t="inlineStr">
        <is>
          <t>LO QUE HAY QUE MIRAR PRIMERO</t>
        </is>
      </c>
    </row>
    <row r="17" ht="28" customHeight="1">
      <c r="B17" s="4" t="inlineStr">
        <is>
          <t>·  La columna «¿DÓNDE QUEDAS?» dice, en una palabra, si tu precio de hoy está por debajo del mercado, dentro, o por encima.  Ordena por ella y tienes la lista de qué revisar.</t>
        </is>
      </c>
    </row>
    <row r="18" ht="42" customHeight="1">
      <c r="B18" s="4" t="inlineStr">
        <is>
          <t>·  La columna CONFIANZA distingue lo comprobado de lo deducido.  V significa que hay una cifra publicada para ESE compuesto.  D significa que no la hay y se usó la banda de su clase — que sí está comprobada.  De las 56 moléculas, 11 son V y 45 son D.</t>
        </is>
      </c>
    </row>
    <row r="19" ht="28" customHeight="1">
      <c r="B19" s="4" t="inlineStr">
        <is>
          <t>·  En la hoja MÉXICO, la columna COMPETIDOR trae el precio real de una tienda mexicana cuando lo hay. Ocho compuestos lo tienen y es el dato más duro del libro.</t>
        </is>
      </c>
    </row>
    <row r="21">
      <c r="B21" s="3" t="inlineStr">
        <is>
          <t>LO QUE ESTE LIBRO NO ES</t>
        </is>
      </c>
    </row>
    <row r="22" ht="42" customHeight="1">
      <c r="B22" s="4" t="inlineStr">
        <is>
          <t>Las columnas de mercado y el precio sugerido son fórmulas, no números escritos: se calculan al abrir el libro en Excel, Google Sheets o Numbers.  Si lo miras en la vista previa del teléfono sin abrirlo, esas tres columnas pueden salir vacías — no es un error del archivo.</t>
        </is>
      </c>
    </row>
    <row r="24" ht="28" customHeight="1">
      <c r="B24" s="4" t="inlineStr">
        <is>
          <t>No es un cálculo de tu margen: no lleva tu costo, porque no lo tengo.  Cuando lo pongas al lado del precio sugerido, el margen sale solo.</t>
        </is>
      </c>
    </row>
    <row r="25" ht="28" customHeight="1">
      <c r="B25" s="4" t="inlineStr">
        <is>
          <t>Y no es una foto fija.  Los precios de este mercado se mueven semana a semana — tirzepatida y retatrutida son las más volátiles.  Conviene revisar las BANDAS cada trimestre; está hecho para eso.</t>
        </is>
      </c>
    </row>
    <row r="27">
      <c r="B27" s="2" t="inlineStr">
        <is>
          <t>Research Use Only — no para uso humano ni veterinario.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1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5" customWidth="1" min="3" max="3"/>
    <col width="8" customWidth="1" min="4" max="4"/>
    <col width="8" customWidth="1" min="5" max="5"/>
    <col width="14" customWidth="1" min="6" max="6"/>
    <col width="14" customWidth="1" min="7" max="7"/>
    <col width="14" customWidth="1" min="8" max="8"/>
    <col width="16" customWidth="1" min="9" max="9"/>
    <col width="15" customWidth="1" min="10" max="10"/>
    <col width="16" customWidth="1" min="11" max="11"/>
    <col width="7" customWidth="1" min="12" max="12"/>
    <col width="15" customWidth="1" min="13" max="13"/>
    <col width="20" customWidth="1" min="14" max="14"/>
  </cols>
  <sheetData>
    <row r="2">
      <c r="B2" s="5" t="inlineStr">
        <is>
          <t>PEPTIDEX · PRECIOS DE VENTA — MÉXICO</t>
        </is>
      </c>
    </row>
    <row r="3">
      <c r="B3" s="6" t="inlineStr">
        <is>
          <t>Precio de mercado y precio sugerido para las 118 presentaciones.  La columna amarilla es la respuesta.  02.08.2026</t>
        </is>
      </c>
    </row>
    <row r="5" ht="30" customHeight="1">
      <c r="A5" s="7" t="inlineStr">
        <is>
          <t>LÍNEA</t>
        </is>
      </c>
      <c r="B5" s="7" t="inlineStr">
        <is>
          <t>CÓDIGO</t>
        </is>
      </c>
      <c r="C5" s="7" t="inlineStr">
        <is>
          <t>COMPUESTO</t>
        </is>
      </c>
      <c r="D5" s="7" t="inlineStr">
        <is>
          <t>CANT.</t>
        </is>
      </c>
      <c r="E5" s="7" t="inlineStr">
        <is>
          <t>UNIDAD</t>
        </is>
      </c>
      <c r="F5" s="7" t="inlineStr">
        <is>
          <t>TU PRECIO HOY</t>
        </is>
      </c>
      <c r="G5" s="7" t="inlineStr">
        <is>
          <t>MERCADO BAJO</t>
        </is>
      </c>
      <c r="H5" s="7" t="inlineStr">
        <is>
          <t>MERCADO ALTO</t>
        </is>
      </c>
      <c r="I5" s="7" t="inlineStr">
        <is>
          <t>PRECIO SUGERIDO</t>
        </is>
      </c>
      <c r="J5" s="7" t="inlineStr">
        <is>
          <t>PRECIO POR UNIDAD</t>
        </is>
      </c>
      <c r="K5" s="7" t="inlineStr">
        <is>
          <t>¿DÓNDE QUEDAS?</t>
        </is>
      </c>
      <c r="L5" s="7" t="inlineStr">
        <is>
          <t>CONF.</t>
        </is>
      </c>
      <c r="M5" s="7" t="inlineStr">
        <is>
          <t>COMPETIDOR REAL</t>
        </is>
      </c>
      <c r="N5" s="7" t="inlineStr">
        <is>
          <t>QUIÉN</t>
        </is>
      </c>
    </row>
    <row r="6">
      <c r="A6" s="8" t="inlineStr">
        <is>
          <t>BEAUTY</t>
        </is>
      </c>
      <c r="B6" s="8" t="inlineStr">
        <is>
          <t>AC</t>
        </is>
      </c>
      <c r="C6" s="8" t="inlineStr">
        <is>
          <t>AHK-Cu</t>
        </is>
      </c>
      <c r="D6" s="9" t="n">
        <v>20</v>
      </c>
      <c r="E6" s="8" t="inlineStr">
        <is>
          <t>mg</t>
        </is>
      </c>
      <c r="F6" s="10" t="n">
        <v>500</v>
      </c>
      <c r="G6" s="11">
        <f>BANDAS!$E$9*$D6*BANDAS!$E$5*BANDAS!$E$6</f>
        <v/>
      </c>
      <c r="H6" s="11">
        <f>BANDAS!$F$9*$D6*BANDAS!$E$5*BANDAS!$E$6</f>
        <v/>
      </c>
      <c r="I6" s="12">
        <f>ROUND(AVERAGE(G6,H6)/50,0)*50</f>
        <v/>
      </c>
      <c r="J6" s="13">
        <f>IF($D6=0,"",I6/$D6)</f>
        <v/>
      </c>
      <c r="K6" s="14">
        <f>IF(F6="","",IF(F6&lt;G6,"POR DEBAJO",IF(F6&gt;H6,"POR ENCIMA","EN MERCADO")))</f>
        <v/>
      </c>
      <c r="L6" s="15" t="inlineStr">
        <is>
          <t>D</t>
        </is>
      </c>
      <c r="M6" s="11" t="inlineStr"/>
      <c r="N6" s="8" t="inlineStr"/>
    </row>
    <row r="7">
      <c r="A7" s="8" t="inlineStr">
        <is>
          <t>BEAUTY</t>
        </is>
      </c>
      <c r="B7" s="8" t="inlineStr">
        <is>
          <t>AC</t>
        </is>
      </c>
      <c r="C7" s="8" t="inlineStr">
        <is>
          <t>AHK-Cu</t>
        </is>
      </c>
      <c r="D7" s="9" t="n">
        <v>50</v>
      </c>
      <c r="E7" s="8" t="inlineStr">
        <is>
          <t>mg</t>
        </is>
      </c>
      <c r="F7" s="10" t="n">
        <v>1350</v>
      </c>
      <c r="G7" s="11">
        <f>BANDAS!$E$9*$D7*BANDAS!$E$5*BANDAS!$E$6</f>
        <v/>
      </c>
      <c r="H7" s="11">
        <f>BANDAS!$F$9*$D7*BANDAS!$E$5*BANDAS!$E$6</f>
        <v/>
      </c>
      <c r="I7" s="12">
        <f>ROUND(AVERAGE(G7,H7)/50,0)*50</f>
        <v/>
      </c>
      <c r="J7" s="13">
        <f>IF($D7=0,"",I7/$D7)</f>
        <v/>
      </c>
      <c r="K7" s="14">
        <f>IF(F7="","",IF(F7&lt;G7,"POR DEBAJO",IF(F7&gt;H7,"POR ENCIMA","EN MERCADO")))</f>
        <v/>
      </c>
      <c r="L7" s="15" t="inlineStr">
        <is>
          <t>D</t>
        </is>
      </c>
      <c r="M7" s="11" t="inlineStr"/>
      <c r="N7" s="8" t="inlineStr"/>
    </row>
    <row r="8">
      <c r="A8" s="8" t="inlineStr">
        <is>
          <t>BEAUTY</t>
        </is>
      </c>
      <c r="B8" s="8" t="inlineStr">
        <is>
          <t>CU</t>
        </is>
      </c>
      <c r="C8" s="8" t="inlineStr">
        <is>
          <t>GHK-Cu</t>
        </is>
      </c>
      <c r="D8" s="9" t="n">
        <v>50</v>
      </c>
      <c r="E8" s="8" t="inlineStr">
        <is>
          <t>mg</t>
        </is>
      </c>
      <c r="F8" s="10" t="n">
        <v>1150</v>
      </c>
      <c r="G8" s="11">
        <f>BANDAS!$E$10*$D8*BANDAS!$E$5*BANDAS!$E$6</f>
        <v/>
      </c>
      <c r="H8" s="11">
        <f>BANDAS!$F$10*$D8*BANDAS!$E$5*BANDAS!$E$6</f>
        <v/>
      </c>
      <c r="I8" s="12">
        <f>ROUND(AVERAGE(G8,H8)/50,0)*50</f>
        <v/>
      </c>
      <c r="J8" s="13">
        <f>IF($D8=0,"",I8/$D8)</f>
        <v/>
      </c>
      <c r="K8" s="14">
        <f>IF(F8="","",IF(F8&lt;G8,"POR DEBAJO",IF(F8&gt;H8,"POR ENCIMA","EN MERCADO")))</f>
        <v/>
      </c>
      <c r="L8" s="16" t="inlineStr">
        <is>
          <t>V</t>
        </is>
      </c>
      <c r="M8" s="11" t="n">
        <v>520</v>
      </c>
      <c r="N8" s="8" t="inlineStr">
        <is>
          <t>EXOMA Peptides</t>
        </is>
      </c>
    </row>
    <row r="9">
      <c r="A9" s="8" t="inlineStr">
        <is>
          <t>BEAUTY</t>
        </is>
      </c>
      <c r="B9" s="8" t="inlineStr">
        <is>
          <t>CU</t>
        </is>
      </c>
      <c r="C9" s="8" t="inlineStr">
        <is>
          <t>GHK-Cu</t>
        </is>
      </c>
      <c r="D9" s="9" t="n">
        <v>100</v>
      </c>
      <c r="E9" s="8" t="inlineStr">
        <is>
          <t>mg</t>
        </is>
      </c>
      <c r="F9" s="10" t="n">
        <v>1850</v>
      </c>
      <c r="G9" s="11">
        <f>BANDAS!$E$10*$D9*BANDAS!$E$5*BANDAS!$E$6</f>
        <v/>
      </c>
      <c r="H9" s="11">
        <f>BANDAS!$F$10*$D9*BANDAS!$E$5*BANDAS!$E$6</f>
        <v/>
      </c>
      <c r="I9" s="12">
        <f>ROUND(AVERAGE(G9,H9)/50,0)*50</f>
        <v/>
      </c>
      <c r="J9" s="13">
        <f>IF($D9=0,"",I9/$D9)</f>
        <v/>
      </c>
      <c r="K9" s="14">
        <f>IF(F9="","",IF(F9&lt;G9,"POR DEBAJO",IF(F9&gt;H9,"POR ENCIMA","EN MERCADO")))</f>
        <v/>
      </c>
      <c r="L9" s="16" t="inlineStr">
        <is>
          <t>V</t>
        </is>
      </c>
      <c r="M9" s="11" t="inlineStr"/>
      <c r="N9" s="8" t="inlineStr"/>
    </row>
    <row r="10">
      <c r="A10" s="8" t="inlineStr">
        <is>
          <t>BEAUTY</t>
        </is>
      </c>
      <c r="B10" s="8" t="inlineStr">
        <is>
          <t>GL</t>
        </is>
      </c>
      <c r="C10" s="8" t="inlineStr">
        <is>
          <t>GLOW Blend</t>
        </is>
      </c>
      <c r="D10" s="9" t="n">
        <v>70</v>
      </c>
      <c r="E10" s="8" t="inlineStr">
        <is>
          <t>mg</t>
        </is>
      </c>
      <c r="F10" s="10" t="n">
        <v>6400</v>
      </c>
      <c r="G10" s="11">
        <f>BANDAS!$E$11*$D10*BANDAS!$E$5*BANDAS!$E$6</f>
        <v/>
      </c>
      <c r="H10" s="11">
        <f>BANDAS!$F$11*$D10*BANDAS!$E$5*BANDAS!$E$6</f>
        <v/>
      </c>
      <c r="I10" s="12">
        <f>ROUND(AVERAGE(G10,H10)/50,0)*50</f>
        <v/>
      </c>
      <c r="J10" s="13">
        <f>IF($D10=0,"",I10/$D10)</f>
        <v/>
      </c>
      <c r="K10" s="14">
        <f>IF(F10="","",IF(F10&lt;G10,"POR DEBAJO",IF(F10&gt;H10,"POR ENCIMA","EN MERCADO")))</f>
        <v/>
      </c>
      <c r="L10" s="15" t="inlineStr">
        <is>
          <t>D</t>
        </is>
      </c>
      <c r="M10" s="11" t="n">
        <v>2090</v>
      </c>
      <c r="N10" s="8" t="inlineStr">
        <is>
          <t>EXOMA Peptides</t>
        </is>
      </c>
    </row>
    <row r="11">
      <c r="A11" s="8" t="inlineStr">
        <is>
          <t>BEAUTY</t>
        </is>
      </c>
      <c r="B11" s="8" t="inlineStr">
        <is>
          <t>GT</t>
        </is>
      </c>
      <c r="C11" s="8" t="inlineStr">
        <is>
          <t>Glutathione</t>
        </is>
      </c>
      <c r="D11" s="9" t="n">
        <v>600</v>
      </c>
      <c r="E11" s="8" t="inlineStr">
        <is>
          <t>mg</t>
        </is>
      </c>
      <c r="F11" s="10" t="n">
        <v>1100</v>
      </c>
      <c r="G11" s="11">
        <f>BANDAS!$E$12*$D11*BANDAS!$E$5*BANDAS!$E$6</f>
        <v/>
      </c>
      <c r="H11" s="11">
        <f>BANDAS!$F$12*$D11*BANDAS!$E$5*BANDAS!$E$6</f>
        <v/>
      </c>
      <c r="I11" s="12">
        <f>ROUND(AVERAGE(G11,H11)/50,0)*50</f>
        <v/>
      </c>
      <c r="J11" s="13">
        <f>IF($D11=0,"",I11/$D11)</f>
        <v/>
      </c>
      <c r="K11" s="14">
        <f>IF(F11="","",IF(F11&lt;G11,"POR DEBAJO",IF(F11&gt;H11,"POR ENCIMA","EN MERCADO")))</f>
        <v/>
      </c>
      <c r="L11" s="15" t="inlineStr">
        <is>
          <t>D</t>
        </is>
      </c>
      <c r="M11" s="11" t="inlineStr"/>
      <c r="N11" s="8" t="inlineStr"/>
    </row>
    <row r="12">
      <c r="A12" s="8" t="inlineStr">
        <is>
          <t>BEAUTY</t>
        </is>
      </c>
      <c r="B12" s="8" t="inlineStr">
        <is>
          <t>GT</t>
        </is>
      </c>
      <c r="C12" s="8" t="inlineStr">
        <is>
          <t>Glutathione</t>
        </is>
      </c>
      <c r="D12" s="9" t="n">
        <v>1500</v>
      </c>
      <c r="E12" s="8" t="inlineStr">
        <is>
          <t>mg</t>
        </is>
      </c>
      <c r="F12" s="10" t="n">
        <v>2700</v>
      </c>
      <c r="G12" s="11">
        <f>BANDAS!$E$12*$D12*BANDAS!$E$5*BANDAS!$E$6</f>
        <v/>
      </c>
      <c r="H12" s="11">
        <f>BANDAS!$F$12*$D12*BANDAS!$E$5*BANDAS!$E$6</f>
        <v/>
      </c>
      <c r="I12" s="12">
        <f>ROUND(AVERAGE(G12,H12)/50,0)*50</f>
        <v/>
      </c>
      <c r="J12" s="13">
        <f>IF($D12=0,"",I12/$D12)</f>
        <v/>
      </c>
      <c r="K12" s="14">
        <f>IF(F12="","",IF(F12&lt;G12,"POR DEBAJO",IF(F12&gt;H12,"POR ENCIMA","EN MERCADO")))</f>
        <v/>
      </c>
      <c r="L12" s="15" t="inlineStr">
        <is>
          <t>D</t>
        </is>
      </c>
      <c r="M12" s="11" t="inlineStr"/>
      <c r="N12" s="8" t="inlineStr"/>
    </row>
    <row r="13">
      <c r="A13" s="8" t="inlineStr">
        <is>
          <t>BEAUTY</t>
        </is>
      </c>
      <c r="B13" s="8" t="inlineStr">
        <is>
          <t>KL</t>
        </is>
      </c>
      <c r="C13" s="8" t="inlineStr">
        <is>
          <t>KLOW Blend</t>
        </is>
      </c>
      <c r="D13" s="9" t="n">
        <v>80</v>
      </c>
      <c r="E13" s="8" t="inlineStr">
        <is>
          <t>mg</t>
        </is>
      </c>
      <c r="F13" s="10" t="n">
        <v>7400</v>
      </c>
      <c r="G13" s="11">
        <f>BANDAS!$E$13*$D13*BANDAS!$E$5*BANDAS!$E$6</f>
        <v/>
      </c>
      <c r="H13" s="11">
        <f>BANDAS!$F$13*$D13*BANDAS!$E$5*BANDAS!$E$6</f>
        <v/>
      </c>
      <c r="I13" s="12">
        <f>ROUND(AVERAGE(G13,H13)/50,0)*50</f>
        <v/>
      </c>
      <c r="J13" s="13">
        <f>IF($D13=0,"",I13/$D13)</f>
        <v/>
      </c>
      <c r="K13" s="14">
        <f>IF(F13="","",IF(F13&lt;G13,"POR DEBAJO",IF(F13&gt;H13,"POR ENCIMA","EN MERCADO")))</f>
        <v/>
      </c>
      <c r="L13" s="15" t="inlineStr">
        <is>
          <t>D</t>
        </is>
      </c>
      <c r="M13" s="11" t="inlineStr"/>
      <c r="N13" s="8" t="inlineStr"/>
    </row>
    <row r="14">
      <c r="A14" s="8" t="inlineStr">
        <is>
          <t>BEAUTY</t>
        </is>
      </c>
      <c r="B14" s="8" t="inlineStr">
        <is>
          <t>KP</t>
        </is>
      </c>
      <c r="C14" s="8" t="inlineStr">
        <is>
          <t>KPV</t>
        </is>
      </c>
      <c r="D14" s="9" t="n">
        <v>5</v>
      </c>
      <c r="E14" s="8" t="inlineStr">
        <is>
          <t>mg</t>
        </is>
      </c>
      <c r="F14" s="10" t="n">
        <v>500</v>
      </c>
      <c r="G14" s="11">
        <f>BANDAS!$E$14*$D14*BANDAS!$E$5*BANDAS!$E$6</f>
        <v/>
      </c>
      <c r="H14" s="11">
        <f>BANDAS!$F$14*$D14*BANDAS!$E$5*BANDAS!$E$6</f>
        <v/>
      </c>
      <c r="I14" s="12">
        <f>ROUND(AVERAGE(G14,H14)/50,0)*50</f>
        <v/>
      </c>
      <c r="J14" s="13">
        <f>IF($D14=0,"",I14/$D14)</f>
        <v/>
      </c>
      <c r="K14" s="14">
        <f>IF(F14="","",IF(F14&lt;G14,"POR DEBAJO",IF(F14&gt;H14,"POR ENCIMA","EN MERCADO")))</f>
        <v/>
      </c>
      <c r="L14" s="15" t="inlineStr">
        <is>
          <t>D</t>
        </is>
      </c>
      <c r="M14" s="11" t="inlineStr"/>
      <c r="N14" s="8" t="inlineStr"/>
    </row>
    <row r="15">
      <c r="A15" s="8" t="inlineStr">
        <is>
          <t>BEAUTY</t>
        </is>
      </c>
      <c r="B15" s="8" t="inlineStr">
        <is>
          <t>KP</t>
        </is>
      </c>
      <c r="C15" s="8" t="inlineStr">
        <is>
          <t>KPV</t>
        </is>
      </c>
      <c r="D15" s="9" t="n">
        <v>10</v>
      </c>
      <c r="E15" s="8" t="inlineStr">
        <is>
          <t>mg</t>
        </is>
      </c>
      <c r="F15" s="10" t="n">
        <v>850</v>
      </c>
      <c r="G15" s="11">
        <f>BANDAS!$E$14*$D15*BANDAS!$E$5*BANDAS!$E$6</f>
        <v/>
      </c>
      <c r="H15" s="11">
        <f>BANDAS!$F$14*$D15*BANDAS!$E$5*BANDAS!$E$6</f>
        <v/>
      </c>
      <c r="I15" s="12">
        <f>ROUND(AVERAGE(G15,H15)/50,0)*50</f>
        <v/>
      </c>
      <c r="J15" s="13">
        <f>IF($D15=0,"",I15/$D15)</f>
        <v/>
      </c>
      <c r="K15" s="14">
        <f>IF(F15="","",IF(F15&lt;G15,"POR DEBAJO",IF(F15&gt;H15,"POR ENCIMA","EN MERCADO")))</f>
        <v/>
      </c>
      <c r="L15" s="15" t="inlineStr">
        <is>
          <t>D</t>
        </is>
      </c>
      <c r="M15" s="11" t="inlineStr"/>
      <c r="N15" s="8" t="inlineStr"/>
    </row>
    <row r="16">
      <c r="A16" s="8" t="inlineStr">
        <is>
          <t>BEAUTY</t>
        </is>
      </c>
      <c r="B16" s="8" t="inlineStr">
        <is>
          <t>MX</t>
        </is>
      </c>
      <c r="C16" s="8" t="inlineStr">
        <is>
          <t>Matrixyl</t>
        </is>
      </c>
      <c r="D16" s="9" t="n">
        <v>10</v>
      </c>
      <c r="E16" s="8" t="inlineStr">
        <is>
          <t>mg</t>
        </is>
      </c>
      <c r="F16" s="10" t="n">
        <v>2100</v>
      </c>
      <c r="G16" s="11">
        <f>BANDAS!$E$15*$D16*BANDAS!$E$5*BANDAS!$E$6</f>
        <v/>
      </c>
      <c r="H16" s="11">
        <f>BANDAS!$F$15*$D16*BANDAS!$E$5*BANDAS!$E$6</f>
        <v/>
      </c>
      <c r="I16" s="12">
        <f>ROUND(AVERAGE(G16,H16)/50,0)*50</f>
        <v/>
      </c>
      <c r="J16" s="13">
        <f>IF($D16=0,"",I16/$D16)</f>
        <v/>
      </c>
      <c r="K16" s="14">
        <f>IF(F16="","",IF(F16&lt;G16,"POR DEBAJO",IF(F16&gt;H16,"POR ENCIMA","EN MERCADO")))</f>
        <v/>
      </c>
      <c r="L16" s="15" t="inlineStr">
        <is>
          <t>D</t>
        </is>
      </c>
      <c r="M16" s="11" t="inlineStr"/>
      <c r="N16" s="8" t="inlineStr"/>
    </row>
    <row r="17">
      <c r="A17" s="8" t="inlineStr">
        <is>
          <t>BEAUTY</t>
        </is>
      </c>
      <c r="B17" s="8" t="inlineStr">
        <is>
          <t>MT1</t>
        </is>
      </c>
      <c r="C17" s="8" t="inlineStr">
        <is>
          <t>Melanotan I</t>
        </is>
      </c>
      <c r="D17" s="9" t="n">
        <v>10</v>
      </c>
      <c r="E17" s="8" t="inlineStr">
        <is>
          <t>mg</t>
        </is>
      </c>
      <c r="F17" s="10" t="n">
        <v>1000</v>
      </c>
      <c r="G17" s="11">
        <f>BANDAS!$E$16*$D17*BANDAS!$E$5*BANDAS!$E$6</f>
        <v/>
      </c>
      <c r="H17" s="11">
        <f>BANDAS!$F$16*$D17*BANDAS!$E$5*BANDAS!$E$6</f>
        <v/>
      </c>
      <c r="I17" s="12">
        <f>ROUND(AVERAGE(G17,H17)/50,0)*50</f>
        <v/>
      </c>
      <c r="J17" s="13">
        <f>IF($D17=0,"",I17/$D17)</f>
        <v/>
      </c>
      <c r="K17" s="14">
        <f>IF(F17="","",IF(F17&lt;G17,"POR DEBAJO",IF(F17&gt;H17,"POR ENCIMA","EN MERCADO")))</f>
        <v/>
      </c>
      <c r="L17" s="15" t="inlineStr">
        <is>
          <t>D</t>
        </is>
      </c>
      <c r="M17" s="11" t="inlineStr"/>
      <c r="N17" s="8" t="inlineStr"/>
    </row>
    <row r="18">
      <c r="A18" s="8" t="inlineStr">
        <is>
          <t>BEAUTY</t>
        </is>
      </c>
      <c r="B18" s="8" t="inlineStr">
        <is>
          <t>MT2</t>
        </is>
      </c>
      <c r="C18" s="8" t="inlineStr">
        <is>
          <t>Melanotan II</t>
        </is>
      </c>
      <c r="D18" s="9" t="n">
        <v>10</v>
      </c>
      <c r="E18" s="8" t="inlineStr">
        <is>
          <t>mg</t>
        </is>
      </c>
      <c r="F18" s="10" t="n">
        <v>1000</v>
      </c>
      <c r="G18" s="11">
        <f>BANDAS!$E$17*$D18*BANDAS!$E$5*BANDAS!$E$6</f>
        <v/>
      </c>
      <c r="H18" s="11">
        <f>BANDAS!$F$17*$D18*BANDAS!$E$5*BANDAS!$E$6</f>
        <v/>
      </c>
      <c r="I18" s="12">
        <f>ROUND(AVERAGE(G18,H18)/50,0)*50</f>
        <v/>
      </c>
      <c r="J18" s="13">
        <f>IF($D18=0,"",I18/$D18)</f>
        <v/>
      </c>
      <c r="K18" s="14">
        <f>IF(F18="","",IF(F18&lt;G18,"POR DEBAJO",IF(F18&gt;H18,"POR ENCIMA","EN MERCADO")))</f>
        <v/>
      </c>
      <c r="L18" s="16" t="inlineStr">
        <is>
          <t>V</t>
        </is>
      </c>
      <c r="M18" s="11" t="inlineStr"/>
      <c r="N18" s="8" t="inlineStr"/>
    </row>
    <row r="19">
      <c r="A19" s="8" t="inlineStr">
        <is>
          <t>BEAUTY</t>
        </is>
      </c>
      <c r="B19" s="8" t="inlineStr">
        <is>
          <t>OT</t>
        </is>
      </c>
      <c r="C19" s="8" t="inlineStr">
        <is>
          <t>Oxytocin</t>
        </is>
      </c>
      <c r="D19" s="9" t="n">
        <v>5</v>
      </c>
      <c r="E19" s="8" t="inlineStr">
        <is>
          <t>mg</t>
        </is>
      </c>
      <c r="F19" s="10" t="n">
        <v>1000</v>
      </c>
      <c r="G19" s="11">
        <f>BANDAS!$E$18*$D19*BANDAS!$E$5*BANDAS!$E$6</f>
        <v/>
      </c>
      <c r="H19" s="11">
        <f>BANDAS!$F$18*$D19*BANDAS!$E$5*BANDAS!$E$6</f>
        <v/>
      </c>
      <c r="I19" s="12">
        <f>ROUND(AVERAGE(G19,H19)/50,0)*50</f>
        <v/>
      </c>
      <c r="J19" s="13">
        <f>IF($D19=0,"",I19/$D19)</f>
        <v/>
      </c>
      <c r="K19" s="14">
        <f>IF(F19="","",IF(F19&lt;G19,"POR DEBAJO",IF(F19&gt;H19,"POR ENCIMA","EN MERCADO")))</f>
        <v/>
      </c>
      <c r="L19" s="15" t="inlineStr">
        <is>
          <t>D</t>
        </is>
      </c>
      <c r="M19" s="11" t="inlineStr"/>
      <c r="N19" s="8" t="inlineStr"/>
    </row>
    <row r="20">
      <c r="A20" s="8" t="inlineStr">
        <is>
          <t>BEAUTY</t>
        </is>
      </c>
      <c r="B20" s="8" t="inlineStr">
        <is>
          <t>PT</t>
        </is>
      </c>
      <c r="C20" s="8" t="inlineStr">
        <is>
          <t>PT-141</t>
        </is>
      </c>
      <c r="D20" s="9" t="n">
        <v>10</v>
      </c>
      <c r="E20" s="8" t="inlineStr">
        <is>
          <t>mg</t>
        </is>
      </c>
      <c r="F20" s="10" t="n">
        <v>1000</v>
      </c>
      <c r="G20" s="11">
        <f>BANDAS!$E$19*$D20*BANDAS!$E$5*BANDAS!$E$6</f>
        <v/>
      </c>
      <c r="H20" s="11">
        <f>BANDAS!$F$19*$D20*BANDAS!$E$5*BANDAS!$E$6</f>
        <v/>
      </c>
      <c r="I20" s="12">
        <f>ROUND(AVERAGE(G20,H20)/50,0)*50</f>
        <v/>
      </c>
      <c r="J20" s="13">
        <f>IF($D20=0,"",I20/$D20)</f>
        <v/>
      </c>
      <c r="K20" s="14">
        <f>IF(F20="","",IF(F20&lt;G20,"POR DEBAJO",IF(F20&gt;H20,"POR ENCIMA","EN MERCADO")))</f>
        <v/>
      </c>
      <c r="L20" s="16" t="inlineStr">
        <is>
          <t>V</t>
        </is>
      </c>
      <c r="M20" s="11" t="inlineStr"/>
      <c r="N20" s="8" t="inlineStr"/>
    </row>
    <row r="21">
      <c r="A21" s="8" t="inlineStr">
        <is>
          <t>BEAUTY</t>
        </is>
      </c>
      <c r="B21" s="8" t="inlineStr">
        <is>
          <t>NP8</t>
        </is>
      </c>
      <c r="C21" s="8" t="inlineStr">
        <is>
          <t>Snap-8</t>
        </is>
      </c>
      <c r="D21" s="9" t="n">
        <v>10</v>
      </c>
      <c r="E21" s="8" t="inlineStr">
        <is>
          <t>mg</t>
        </is>
      </c>
      <c r="F21" s="10" t="n">
        <v>850</v>
      </c>
      <c r="G21" s="11">
        <f>BANDAS!$E$20*$D21*BANDAS!$E$5*BANDAS!$E$6</f>
        <v/>
      </c>
      <c r="H21" s="11">
        <f>BANDAS!$F$20*$D21*BANDAS!$E$5*BANDAS!$E$6</f>
        <v/>
      </c>
      <c r="I21" s="12">
        <f>ROUND(AVERAGE(G21,H21)/50,0)*50</f>
        <v/>
      </c>
      <c r="J21" s="13">
        <f>IF($D21=0,"",I21/$D21)</f>
        <v/>
      </c>
      <c r="K21" s="14">
        <f>IF(F21="","",IF(F21&lt;G21,"POR DEBAJO",IF(F21&gt;H21,"POR ENCIMA","EN MERCADO")))</f>
        <v/>
      </c>
      <c r="L21" s="15" t="inlineStr">
        <is>
          <t>D</t>
        </is>
      </c>
      <c r="M21" s="11" t="inlineStr"/>
      <c r="N21" s="8" t="inlineStr"/>
    </row>
    <row r="22">
      <c r="A22" s="8" t="inlineStr">
        <is>
          <t>FITNESS</t>
        </is>
      </c>
      <c r="B22" s="8" t="inlineStr">
        <is>
          <t>AM</t>
        </is>
      </c>
      <c r="C22" s="8" t="inlineStr">
        <is>
          <t>5-Amino-1MQ</t>
        </is>
      </c>
      <c r="D22" s="9" t="n">
        <v>5</v>
      </c>
      <c r="E22" s="8" t="inlineStr">
        <is>
          <t>mg</t>
        </is>
      </c>
      <c r="F22" s="10" t="n">
        <v>300</v>
      </c>
      <c r="G22" s="11">
        <f>BANDAS!$E$21*$D22*BANDAS!$E$5*BANDAS!$E$6</f>
        <v/>
      </c>
      <c r="H22" s="11">
        <f>BANDAS!$F$21*$D22*BANDAS!$E$5*BANDAS!$E$6</f>
        <v/>
      </c>
      <c r="I22" s="12">
        <f>ROUND(AVERAGE(G22,H22)/50,0)*50</f>
        <v/>
      </c>
      <c r="J22" s="13">
        <f>IF($D22=0,"",I22/$D22)</f>
        <v/>
      </c>
      <c r="K22" s="14">
        <f>IF(F22="","",IF(F22&lt;G22,"POR DEBAJO",IF(F22&gt;H22,"POR ENCIMA","EN MERCADO")))</f>
        <v/>
      </c>
      <c r="L22" s="15" t="inlineStr">
        <is>
          <t>D</t>
        </is>
      </c>
      <c r="M22" s="11" t="inlineStr"/>
      <c r="N22" s="8" t="inlineStr"/>
    </row>
    <row r="23">
      <c r="A23" s="8" t="inlineStr">
        <is>
          <t>FITNESS</t>
        </is>
      </c>
      <c r="B23" s="8" t="inlineStr">
        <is>
          <t>AM</t>
        </is>
      </c>
      <c r="C23" s="8" t="inlineStr">
        <is>
          <t>5-Amino-1MQ</t>
        </is>
      </c>
      <c r="D23" s="9" t="n">
        <v>10</v>
      </c>
      <c r="E23" s="8" t="inlineStr">
        <is>
          <t>mg</t>
        </is>
      </c>
      <c r="F23" s="10" t="n">
        <v>550</v>
      </c>
      <c r="G23" s="11">
        <f>BANDAS!$E$21*$D23*BANDAS!$E$5*BANDAS!$E$6</f>
        <v/>
      </c>
      <c r="H23" s="11">
        <f>BANDAS!$F$21*$D23*BANDAS!$E$5*BANDAS!$E$6</f>
        <v/>
      </c>
      <c r="I23" s="12">
        <f>ROUND(AVERAGE(G23,H23)/50,0)*50</f>
        <v/>
      </c>
      <c r="J23" s="13">
        <f>IF($D23=0,"",I23/$D23)</f>
        <v/>
      </c>
      <c r="K23" s="14">
        <f>IF(F23="","",IF(F23&lt;G23,"POR DEBAJO",IF(F23&gt;H23,"POR ENCIMA","EN MERCADO")))</f>
        <v/>
      </c>
      <c r="L23" s="15" t="inlineStr">
        <is>
          <t>D</t>
        </is>
      </c>
      <c r="M23" s="11" t="inlineStr"/>
      <c r="N23" s="8" t="inlineStr"/>
    </row>
    <row r="24">
      <c r="A24" s="8" t="inlineStr">
        <is>
          <t>FITNESS</t>
        </is>
      </c>
      <c r="B24" s="8" t="inlineStr">
        <is>
          <t>AM</t>
        </is>
      </c>
      <c r="C24" s="8" t="inlineStr">
        <is>
          <t>5-Amino-1MQ</t>
        </is>
      </c>
      <c r="D24" s="9" t="n">
        <v>50</v>
      </c>
      <c r="E24" s="8" t="inlineStr">
        <is>
          <t>mg</t>
        </is>
      </c>
      <c r="F24" s="10" t="n">
        <v>2350</v>
      </c>
      <c r="G24" s="11">
        <f>BANDAS!$E$21*$D24*BANDAS!$E$5*BANDAS!$E$6</f>
        <v/>
      </c>
      <c r="H24" s="11">
        <f>BANDAS!$F$21*$D24*BANDAS!$E$5*BANDAS!$E$6</f>
        <v/>
      </c>
      <c r="I24" s="12">
        <f>ROUND(AVERAGE(G24,H24)/50,0)*50</f>
        <v/>
      </c>
      <c r="J24" s="13">
        <f>IF($D24=0,"",I24/$D24)</f>
        <v/>
      </c>
      <c r="K24" s="14">
        <f>IF(F24="","",IF(F24&lt;G24,"POR DEBAJO",IF(F24&gt;H24,"POR ENCIMA","EN MERCADO")))</f>
        <v/>
      </c>
      <c r="L24" s="15" t="inlineStr">
        <is>
          <t>D</t>
        </is>
      </c>
      <c r="M24" s="11" t="inlineStr"/>
      <c r="N24" s="8" t="inlineStr"/>
    </row>
    <row r="25">
      <c r="A25" s="8" t="inlineStr">
        <is>
          <t>FITNESS</t>
        </is>
      </c>
      <c r="B25" s="8" t="inlineStr">
        <is>
          <t>AR</t>
        </is>
      </c>
      <c r="C25" s="8" t="inlineStr">
        <is>
          <t>AICAR</t>
        </is>
      </c>
      <c r="D25" s="9" t="n">
        <v>50</v>
      </c>
      <c r="E25" s="8" t="inlineStr">
        <is>
          <t>mg</t>
        </is>
      </c>
      <c r="F25" s="10" t="n">
        <v>1350</v>
      </c>
      <c r="G25" s="11">
        <f>BANDAS!$E$22*$D25*BANDAS!$E$5*BANDAS!$E$6</f>
        <v/>
      </c>
      <c r="H25" s="11">
        <f>BANDAS!$F$22*$D25*BANDAS!$E$5*BANDAS!$E$6</f>
        <v/>
      </c>
      <c r="I25" s="12">
        <f>ROUND(AVERAGE(G25,H25)/50,0)*50</f>
        <v/>
      </c>
      <c r="J25" s="13">
        <f>IF($D25=0,"",I25/$D25)</f>
        <v/>
      </c>
      <c r="K25" s="14">
        <f>IF(F25="","",IF(F25&lt;G25,"POR DEBAJO",IF(F25&gt;H25,"POR ENCIMA","EN MERCADO")))</f>
        <v/>
      </c>
      <c r="L25" s="15" t="inlineStr">
        <is>
          <t>D</t>
        </is>
      </c>
      <c r="M25" s="11" t="inlineStr"/>
      <c r="N25" s="8" t="inlineStr"/>
    </row>
    <row r="26">
      <c r="A26" s="8" t="inlineStr">
        <is>
          <t>FITNESS</t>
        </is>
      </c>
      <c r="B26" s="8" t="inlineStr">
        <is>
          <t>AR</t>
        </is>
      </c>
      <c r="C26" s="8" t="inlineStr">
        <is>
          <t>AICAR</t>
        </is>
      </c>
      <c r="D26" s="9" t="n">
        <v>100</v>
      </c>
      <c r="E26" s="8" t="inlineStr">
        <is>
          <t>mg</t>
        </is>
      </c>
      <c r="F26" s="10" t="n">
        <v>2700</v>
      </c>
      <c r="G26" s="11">
        <f>BANDAS!$E$22*$D26*BANDAS!$E$5*BANDAS!$E$6</f>
        <v/>
      </c>
      <c r="H26" s="11">
        <f>BANDAS!$F$22*$D26*BANDAS!$E$5*BANDAS!$E$6</f>
        <v/>
      </c>
      <c r="I26" s="12">
        <f>ROUND(AVERAGE(G26,H26)/50,0)*50</f>
        <v/>
      </c>
      <c r="J26" s="13">
        <f>IF($D26=0,"",I26/$D26)</f>
        <v/>
      </c>
      <c r="K26" s="14">
        <f>IF(F26="","",IF(F26&lt;G26,"POR DEBAJO",IF(F26&gt;H26,"POR ENCIMA","EN MERCADO")))</f>
        <v/>
      </c>
      <c r="L26" s="15" t="inlineStr">
        <is>
          <t>D</t>
        </is>
      </c>
      <c r="M26" s="11" t="inlineStr"/>
      <c r="N26" s="8" t="inlineStr"/>
    </row>
    <row r="27">
      <c r="A27" s="8" t="inlineStr">
        <is>
          <t>FITNESS</t>
        </is>
      </c>
      <c r="B27" s="8" t="inlineStr">
        <is>
          <t>AD</t>
        </is>
      </c>
      <c r="C27" s="8" t="inlineStr">
        <is>
          <t>AOD-9604</t>
        </is>
      </c>
      <c r="D27" s="9" t="n">
        <v>5</v>
      </c>
      <c r="E27" s="8" t="inlineStr">
        <is>
          <t>mg</t>
        </is>
      </c>
      <c r="F27" s="10" t="n">
        <v>800</v>
      </c>
      <c r="G27" s="11">
        <f>BANDAS!$E$23*$D27*BANDAS!$E$5*BANDAS!$E$6</f>
        <v/>
      </c>
      <c r="H27" s="11">
        <f>BANDAS!$F$23*$D27*BANDAS!$E$5*BANDAS!$E$6</f>
        <v/>
      </c>
      <c r="I27" s="12">
        <f>ROUND(AVERAGE(G27,H27)/50,0)*50</f>
        <v/>
      </c>
      <c r="J27" s="13">
        <f>IF($D27=0,"",I27/$D27)</f>
        <v/>
      </c>
      <c r="K27" s="14">
        <f>IF(F27="","",IF(F27&lt;G27,"POR DEBAJO",IF(F27&gt;H27,"POR ENCIMA","EN MERCADO")))</f>
        <v/>
      </c>
      <c r="L27" s="15" t="inlineStr">
        <is>
          <t>D</t>
        </is>
      </c>
      <c r="M27" s="11" t="inlineStr"/>
      <c r="N27" s="8" t="inlineStr"/>
    </row>
    <row r="28">
      <c r="A28" s="8" t="inlineStr">
        <is>
          <t>FITNESS</t>
        </is>
      </c>
      <c r="B28" s="8" t="inlineStr">
        <is>
          <t>AD</t>
        </is>
      </c>
      <c r="C28" s="8" t="inlineStr">
        <is>
          <t>AOD-9604</t>
        </is>
      </c>
      <c r="D28" s="9" t="n">
        <v>10</v>
      </c>
      <c r="E28" s="8" t="inlineStr">
        <is>
          <t>mg</t>
        </is>
      </c>
      <c r="F28" s="10" t="n">
        <v>1450</v>
      </c>
      <c r="G28" s="11">
        <f>BANDAS!$E$23*$D28*BANDAS!$E$5*BANDAS!$E$6</f>
        <v/>
      </c>
      <c r="H28" s="11">
        <f>BANDAS!$F$23*$D28*BANDAS!$E$5*BANDAS!$E$6</f>
        <v/>
      </c>
      <c r="I28" s="12">
        <f>ROUND(AVERAGE(G28,H28)/50,0)*50</f>
        <v/>
      </c>
      <c r="J28" s="13">
        <f>IF($D28=0,"",I28/$D28)</f>
        <v/>
      </c>
      <c r="K28" s="14">
        <f>IF(F28="","",IF(F28&lt;G28,"POR DEBAJO",IF(F28&gt;H28,"POR ENCIMA","EN MERCADO")))</f>
        <v/>
      </c>
      <c r="L28" s="15" t="inlineStr">
        <is>
          <t>D</t>
        </is>
      </c>
      <c r="M28" s="11" t="inlineStr"/>
      <c r="N28" s="8" t="inlineStr"/>
    </row>
    <row r="29">
      <c r="A29" s="8" t="inlineStr">
        <is>
          <t>FITNESS</t>
        </is>
      </c>
      <c r="B29" s="8" t="inlineStr">
        <is>
          <t>AX</t>
        </is>
      </c>
      <c r="C29" s="8" t="inlineStr">
        <is>
          <t>Adamax</t>
        </is>
      </c>
      <c r="D29" s="9" t="n">
        <v>10</v>
      </c>
      <c r="E29" s="8" t="inlineStr">
        <is>
          <t>mg</t>
        </is>
      </c>
      <c r="F29" s="10" t="n">
        <v>2100</v>
      </c>
      <c r="G29" s="11">
        <f>BANDAS!$E$24*$D29*BANDAS!$E$5*BANDAS!$E$6</f>
        <v/>
      </c>
      <c r="H29" s="11">
        <f>BANDAS!$F$24*$D29*BANDAS!$E$5*BANDAS!$E$6</f>
        <v/>
      </c>
      <c r="I29" s="12">
        <f>ROUND(AVERAGE(G29,H29)/50,0)*50</f>
        <v/>
      </c>
      <c r="J29" s="13">
        <f>IF($D29=0,"",I29/$D29)</f>
        <v/>
      </c>
      <c r="K29" s="14">
        <f>IF(F29="","",IF(F29&lt;G29,"POR DEBAJO",IF(F29&gt;H29,"POR ENCIMA","EN MERCADO")))</f>
        <v/>
      </c>
      <c r="L29" s="15" t="inlineStr">
        <is>
          <t>D</t>
        </is>
      </c>
      <c r="M29" s="11" t="inlineStr"/>
      <c r="N29" s="8" t="inlineStr"/>
    </row>
    <row r="30">
      <c r="A30" s="8" t="inlineStr">
        <is>
          <t>FITNESS</t>
        </is>
      </c>
      <c r="B30" s="8" t="inlineStr">
        <is>
          <t>APT</t>
        </is>
      </c>
      <c r="C30" s="8" t="inlineStr">
        <is>
          <t>Adipotide</t>
        </is>
      </c>
      <c r="D30" s="9" t="n">
        <v>5</v>
      </c>
      <c r="E30" s="8" t="inlineStr">
        <is>
          <t>mg</t>
        </is>
      </c>
      <c r="F30" s="10" t="n">
        <v>1000</v>
      </c>
      <c r="G30" s="11">
        <f>BANDAS!$E$25*$D30*BANDAS!$E$5*BANDAS!$E$6</f>
        <v/>
      </c>
      <c r="H30" s="11">
        <f>BANDAS!$F$25*$D30*BANDAS!$E$5*BANDAS!$E$6</f>
        <v/>
      </c>
      <c r="I30" s="12">
        <f>ROUND(AVERAGE(G30,H30)/50,0)*50</f>
        <v/>
      </c>
      <c r="J30" s="13">
        <f>IF($D30=0,"",I30/$D30)</f>
        <v/>
      </c>
      <c r="K30" s="14">
        <f>IF(F30="","",IF(F30&lt;G30,"POR DEBAJO",IF(F30&gt;H30,"POR ENCIMA","EN MERCADO")))</f>
        <v/>
      </c>
      <c r="L30" s="15" t="inlineStr">
        <is>
          <t>D</t>
        </is>
      </c>
      <c r="M30" s="11" t="inlineStr"/>
      <c r="N30" s="8" t="inlineStr"/>
    </row>
    <row r="31">
      <c r="A31" s="8" t="inlineStr">
        <is>
          <t>FITNESS</t>
        </is>
      </c>
      <c r="B31" s="8" t="inlineStr">
        <is>
          <t>APT</t>
        </is>
      </c>
      <c r="C31" s="8" t="inlineStr">
        <is>
          <t>Adipotide</t>
        </is>
      </c>
      <c r="D31" s="9" t="n">
        <v>10</v>
      </c>
      <c r="E31" s="8" t="inlineStr">
        <is>
          <t>mg</t>
        </is>
      </c>
      <c r="F31" s="10" t="n">
        <v>2100</v>
      </c>
      <c r="G31" s="11">
        <f>BANDAS!$E$25*$D31*BANDAS!$E$5*BANDAS!$E$6</f>
        <v/>
      </c>
      <c r="H31" s="11">
        <f>BANDAS!$F$25*$D31*BANDAS!$E$5*BANDAS!$E$6</f>
        <v/>
      </c>
      <c r="I31" s="12">
        <f>ROUND(AVERAGE(G31,H31)/50,0)*50</f>
        <v/>
      </c>
      <c r="J31" s="13">
        <f>IF($D31=0,"",I31/$D31)</f>
        <v/>
      </c>
      <c r="K31" s="14">
        <f>IF(F31="","",IF(F31&lt;G31,"POR DEBAJO",IF(F31&gt;H31,"POR ENCIMA","EN MERCADO")))</f>
        <v/>
      </c>
      <c r="L31" s="15" t="inlineStr">
        <is>
          <t>D</t>
        </is>
      </c>
      <c r="M31" s="11" t="inlineStr"/>
      <c r="N31" s="8" t="inlineStr"/>
    </row>
    <row r="32">
      <c r="A32" s="8" t="inlineStr">
        <is>
          <t>FITNESS</t>
        </is>
      </c>
      <c r="B32" s="8" t="inlineStr">
        <is>
          <t>RA</t>
        </is>
      </c>
      <c r="C32" s="8" t="inlineStr">
        <is>
          <t>Ara-290</t>
        </is>
      </c>
      <c r="D32" s="9" t="n">
        <v>10</v>
      </c>
      <c r="E32" s="8" t="inlineStr">
        <is>
          <t>mg</t>
        </is>
      </c>
      <c r="F32" s="10" t="n">
        <v>2100</v>
      </c>
      <c r="G32" s="11">
        <f>BANDAS!$E$26*$D32*BANDAS!$E$5*BANDAS!$E$6</f>
        <v/>
      </c>
      <c r="H32" s="11">
        <f>BANDAS!$F$26*$D32*BANDAS!$E$5*BANDAS!$E$6</f>
        <v/>
      </c>
      <c r="I32" s="12">
        <f>ROUND(AVERAGE(G32,H32)/50,0)*50</f>
        <v/>
      </c>
      <c r="J32" s="13">
        <f>IF($D32=0,"",I32/$D32)</f>
        <v/>
      </c>
      <c r="K32" s="14">
        <f>IF(F32="","",IF(F32&lt;G32,"POR DEBAJO",IF(F32&gt;H32,"POR ENCIMA","EN MERCADO")))</f>
        <v/>
      </c>
      <c r="L32" s="15" t="inlineStr">
        <is>
          <t>D</t>
        </is>
      </c>
      <c r="M32" s="11" t="inlineStr"/>
      <c r="N32" s="8" t="inlineStr"/>
    </row>
    <row r="33">
      <c r="A33" s="8" t="inlineStr">
        <is>
          <t>FITNESS</t>
        </is>
      </c>
      <c r="B33" s="8" t="inlineStr">
        <is>
          <t>BC</t>
        </is>
      </c>
      <c r="C33" s="8" t="inlineStr">
        <is>
          <t>BPC-157</t>
        </is>
      </c>
      <c r="D33" s="9" t="n">
        <v>5</v>
      </c>
      <c r="E33" s="8" t="inlineStr">
        <is>
          <t>mg</t>
        </is>
      </c>
      <c r="F33" s="10" t="n">
        <v>700</v>
      </c>
      <c r="G33" s="11">
        <f>BANDAS!$E$27*$D33*BANDAS!$E$5*BANDAS!$E$6</f>
        <v/>
      </c>
      <c r="H33" s="11">
        <f>BANDAS!$F$27*$D33*BANDAS!$E$5*BANDAS!$E$6</f>
        <v/>
      </c>
      <c r="I33" s="12">
        <f>ROUND(AVERAGE(G33,H33)/50,0)*50</f>
        <v/>
      </c>
      <c r="J33" s="13">
        <f>IF($D33=0,"",I33/$D33)</f>
        <v/>
      </c>
      <c r="K33" s="14">
        <f>IF(F33="","",IF(F33&lt;G33,"POR DEBAJO",IF(F33&gt;H33,"POR ENCIMA","EN MERCADO")))</f>
        <v/>
      </c>
      <c r="L33" s="16" t="inlineStr">
        <is>
          <t>V</t>
        </is>
      </c>
      <c r="M33" s="11" t="n">
        <v>610</v>
      </c>
      <c r="N33" s="8" t="inlineStr">
        <is>
          <t>EXOMA Peptides</t>
        </is>
      </c>
    </row>
    <row r="34">
      <c r="A34" s="8" t="inlineStr">
        <is>
          <t>FITNESS</t>
        </is>
      </c>
      <c r="B34" s="8" t="inlineStr">
        <is>
          <t>BC</t>
        </is>
      </c>
      <c r="C34" s="8" t="inlineStr">
        <is>
          <t>BPC-157</t>
        </is>
      </c>
      <c r="D34" s="9" t="n">
        <v>10</v>
      </c>
      <c r="E34" s="8" t="inlineStr">
        <is>
          <t>mg</t>
        </is>
      </c>
      <c r="F34" s="10" t="n">
        <v>1050</v>
      </c>
      <c r="G34" s="11">
        <f>BANDAS!$E$27*$D34*BANDAS!$E$5*BANDAS!$E$6</f>
        <v/>
      </c>
      <c r="H34" s="11">
        <f>BANDAS!$F$27*$D34*BANDAS!$E$5*BANDAS!$E$6</f>
        <v/>
      </c>
      <c r="I34" s="12">
        <f>ROUND(AVERAGE(G34,H34)/50,0)*50</f>
        <v/>
      </c>
      <c r="J34" s="13">
        <f>IF($D34=0,"",I34/$D34)</f>
        <v/>
      </c>
      <c r="K34" s="14">
        <f>IF(F34="","",IF(F34&lt;G34,"POR DEBAJO",IF(F34&gt;H34,"POR ENCIMA","EN MERCADO")))</f>
        <v/>
      </c>
      <c r="L34" s="16" t="inlineStr">
        <is>
          <t>V</t>
        </is>
      </c>
      <c r="M34" s="11" t="inlineStr"/>
      <c r="N34" s="8" t="inlineStr"/>
    </row>
    <row r="35">
      <c r="A35" s="8" t="inlineStr">
        <is>
          <t>FITNESS</t>
        </is>
      </c>
      <c r="B35" s="8" t="inlineStr">
        <is>
          <t>BC</t>
        </is>
      </c>
      <c r="C35" s="8" t="inlineStr">
        <is>
          <t>BPC-157</t>
        </is>
      </c>
      <c r="D35" s="9" t="n">
        <v>20</v>
      </c>
      <c r="E35" s="8" t="inlineStr">
        <is>
          <t>mg</t>
        </is>
      </c>
      <c r="F35" s="10" t="n">
        <v>1850</v>
      </c>
      <c r="G35" s="11">
        <f>BANDAS!$E$27*$D35*BANDAS!$E$5*BANDAS!$E$6</f>
        <v/>
      </c>
      <c r="H35" s="11">
        <f>BANDAS!$F$27*$D35*BANDAS!$E$5*BANDAS!$E$6</f>
        <v/>
      </c>
      <c r="I35" s="12">
        <f>ROUND(AVERAGE(G35,H35)/50,0)*50</f>
        <v/>
      </c>
      <c r="J35" s="13">
        <f>IF($D35=0,"",I35/$D35)</f>
        <v/>
      </c>
      <c r="K35" s="14">
        <f>IF(F35="","",IF(F35&lt;G35,"POR DEBAJO",IF(F35&gt;H35,"POR ENCIMA","EN MERCADO")))</f>
        <v/>
      </c>
      <c r="L35" s="16" t="inlineStr">
        <is>
          <t>V</t>
        </is>
      </c>
      <c r="M35" s="11" t="inlineStr"/>
      <c r="N35" s="8" t="inlineStr"/>
    </row>
    <row r="36">
      <c r="A36" s="8" t="inlineStr">
        <is>
          <t>FITNESS</t>
        </is>
      </c>
      <c r="B36" s="8" t="inlineStr">
        <is>
          <t>BB</t>
        </is>
      </c>
      <c r="C36" s="8" t="inlineStr">
        <is>
          <t>BPC-157 + TB-500</t>
        </is>
      </c>
      <c r="D36" s="9" t="n">
        <v>10</v>
      </c>
      <c r="E36" s="8" t="inlineStr">
        <is>
          <t>mg</t>
        </is>
      </c>
      <c r="F36" s="10" t="n">
        <v>2850</v>
      </c>
      <c r="G36" s="11">
        <f>BANDAS!$E$28*$D36*BANDAS!$E$5*BANDAS!$E$6</f>
        <v/>
      </c>
      <c r="H36" s="11">
        <f>BANDAS!$F$28*$D36*BANDAS!$E$5*BANDAS!$E$6</f>
        <v/>
      </c>
      <c r="I36" s="12">
        <f>ROUND(AVERAGE(G36,H36)/50,0)*50</f>
        <v/>
      </c>
      <c r="J36" s="13">
        <f>IF($D36=0,"",I36/$D36)</f>
        <v/>
      </c>
      <c r="K36" s="14">
        <f>IF(F36="","",IF(F36&lt;G36,"POR DEBAJO",IF(F36&gt;H36,"POR ENCIMA","EN MERCADO")))</f>
        <v/>
      </c>
      <c r="L36" s="15" t="inlineStr">
        <is>
          <t>D</t>
        </is>
      </c>
      <c r="M36" s="11" t="n">
        <v>1399</v>
      </c>
      <c r="N36" s="8" t="inlineStr">
        <is>
          <t>EXOMA Peptides</t>
        </is>
      </c>
    </row>
    <row r="37">
      <c r="A37" s="8" t="inlineStr">
        <is>
          <t>FITNESS</t>
        </is>
      </c>
      <c r="B37" s="8" t="inlineStr">
        <is>
          <t>BB</t>
        </is>
      </c>
      <c r="C37" s="8" t="inlineStr">
        <is>
          <t>BPC-157 + TB-500</t>
        </is>
      </c>
      <c r="D37" s="9" t="n">
        <v>20</v>
      </c>
      <c r="E37" s="8" t="inlineStr">
        <is>
          <t>mg</t>
        </is>
      </c>
      <c r="F37" s="10" t="n">
        <v>3200</v>
      </c>
      <c r="G37" s="11">
        <f>BANDAS!$E$28*$D37*BANDAS!$E$5*BANDAS!$E$6</f>
        <v/>
      </c>
      <c r="H37" s="11">
        <f>BANDAS!$F$28*$D37*BANDAS!$E$5*BANDAS!$E$6</f>
        <v/>
      </c>
      <c r="I37" s="12">
        <f>ROUND(AVERAGE(G37,H37)/50,0)*50</f>
        <v/>
      </c>
      <c r="J37" s="13">
        <f>IF($D37=0,"",I37/$D37)</f>
        <v/>
      </c>
      <c r="K37" s="14">
        <f>IF(F37="","",IF(F37&lt;G37,"POR DEBAJO",IF(F37&gt;H37,"POR ENCIMA","EN MERCADO")))</f>
        <v/>
      </c>
      <c r="L37" s="15" t="inlineStr">
        <is>
          <t>D</t>
        </is>
      </c>
      <c r="M37" s="11" t="inlineStr"/>
      <c r="N37" s="8" t="inlineStr"/>
    </row>
    <row r="38">
      <c r="A38" s="8" t="inlineStr">
        <is>
          <t>FITNESS</t>
        </is>
      </c>
      <c r="B38" s="8" t="inlineStr">
        <is>
          <t>CD</t>
        </is>
      </c>
      <c r="C38" s="8" t="inlineStr">
        <is>
          <t>CJC-1295 (DAC)</t>
        </is>
      </c>
      <c r="D38" s="9" t="n">
        <v>5</v>
      </c>
      <c r="E38" s="8" t="inlineStr">
        <is>
          <t>mg</t>
        </is>
      </c>
      <c r="F38" s="10" t="n">
        <v>1150</v>
      </c>
      <c r="G38" s="11">
        <f>BANDAS!$E$29*$D38*BANDAS!$E$5*BANDAS!$E$6</f>
        <v/>
      </c>
      <c r="H38" s="11">
        <f>BANDAS!$F$29*$D38*BANDAS!$E$5*BANDAS!$E$6</f>
        <v/>
      </c>
      <c r="I38" s="12">
        <f>ROUND(AVERAGE(G38,H38)/50,0)*50</f>
        <v/>
      </c>
      <c r="J38" s="13">
        <f>IF($D38=0,"",I38/$D38)</f>
        <v/>
      </c>
      <c r="K38" s="14">
        <f>IF(F38="","",IF(F38&lt;G38,"POR DEBAJO",IF(F38&gt;H38,"POR ENCIMA","EN MERCADO")))</f>
        <v/>
      </c>
      <c r="L38" s="15" t="inlineStr">
        <is>
          <t>D</t>
        </is>
      </c>
      <c r="M38" s="11" t="inlineStr"/>
      <c r="N38" s="8" t="inlineStr"/>
    </row>
    <row r="39">
      <c r="A39" s="8" t="inlineStr">
        <is>
          <t>FITNESS</t>
        </is>
      </c>
      <c r="B39" s="8" t="inlineStr">
        <is>
          <t>CD</t>
        </is>
      </c>
      <c r="C39" s="8" t="inlineStr">
        <is>
          <t>CJC-1295 (DAC)</t>
        </is>
      </c>
      <c r="D39" s="9" t="n">
        <v>10</v>
      </c>
      <c r="E39" s="8" t="inlineStr">
        <is>
          <t>mg</t>
        </is>
      </c>
      <c r="F39" s="10" t="n">
        <v>2150</v>
      </c>
      <c r="G39" s="11">
        <f>BANDAS!$E$29*$D39*BANDAS!$E$5*BANDAS!$E$6</f>
        <v/>
      </c>
      <c r="H39" s="11">
        <f>BANDAS!$F$29*$D39*BANDAS!$E$5*BANDAS!$E$6</f>
        <v/>
      </c>
      <c r="I39" s="12">
        <f>ROUND(AVERAGE(G39,H39)/50,0)*50</f>
        <v/>
      </c>
      <c r="J39" s="13">
        <f>IF($D39=0,"",I39/$D39)</f>
        <v/>
      </c>
      <c r="K39" s="14">
        <f>IF(F39="","",IF(F39&lt;G39,"POR DEBAJO",IF(F39&gt;H39,"POR ENCIMA","EN MERCADO")))</f>
        <v/>
      </c>
      <c r="L39" s="15" t="inlineStr">
        <is>
          <t>D</t>
        </is>
      </c>
      <c r="M39" s="11" t="inlineStr"/>
      <c r="N39" s="8" t="inlineStr"/>
    </row>
    <row r="40">
      <c r="A40" s="8" t="inlineStr">
        <is>
          <t>FITNESS</t>
        </is>
      </c>
      <c r="B40" s="8" t="inlineStr">
        <is>
          <t>CN</t>
        </is>
      </c>
      <c r="C40" s="8" t="inlineStr">
        <is>
          <t>CJC-1295 (no DAC)</t>
        </is>
      </c>
      <c r="D40" s="9" t="n">
        <v>5</v>
      </c>
      <c r="E40" s="8" t="inlineStr">
        <is>
          <t>mg</t>
        </is>
      </c>
      <c r="F40" s="10" t="n">
        <v>650</v>
      </c>
      <c r="G40" s="11">
        <f>BANDAS!$E$30*$D40*BANDAS!$E$5*BANDAS!$E$6</f>
        <v/>
      </c>
      <c r="H40" s="11">
        <f>BANDAS!$F$30*$D40*BANDAS!$E$5*BANDAS!$E$6</f>
        <v/>
      </c>
      <c r="I40" s="12">
        <f>ROUND(AVERAGE(G40,H40)/50,0)*50</f>
        <v/>
      </c>
      <c r="J40" s="13">
        <f>IF($D40=0,"",I40/$D40)</f>
        <v/>
      </c>
      <c r="K40" s="14">
        <f>IF(F40="","",IF(F40&lt;G40,"POR DEBAJO",IF(F40&gt;H40,"POR ENCIMA","EN MERCADO")))</f>
        <v/>
      </c>
      <c r="L40" s="15" t="inlineStr">
        <is>
          <t>D</t>
        </is>
      </c>
      <c r="M40" s="11" t="inlineStr"/>
      <c r="N40" s="8" t="inlineStr"/>
    </row>
    <row r="41">
      <c r="A41" s="8" t="inlineStr">
        <is>
          <t>FITNESS</t>
        </is>
      </c>
      <c r="B41" s="8" t="inlineStr">
        <is>
          <t>CN</t>
        </is>
      </c>
      <c r="C41" s="8" t="inlineStr">
        <is>
          <t>CJC-1295 (no DAC)</t>
        </is>
      </c>
      <c r="D41" s="9" t="n">
        <v>10</v>
      </c>
      <c r="E41" s="8" t="inlineStr">
        <is>
          <t>mg</t>
        </is>
      </c>
      <c r="F41" s="10" t="n">
        <v>1250</v>
      </c>
      <c r="G41" s="11">
        <f>BANDAS!$E$30*$D41*BANDAS!$E$5*BANDAS!$E$6</f>
        <v/>
      </c>
      <c r="H41" s="11">
        <f>BANDAS!$F$30*$D41*BANDAS!$E$5*BANDAS!$E$6</f>
        <v/>
      </c>
      <c r="I41" s="12">
        <f>ROUND(AVERAGE(G41,H41)/50,0)*50</f>
        <v/>
      </c>
      <c r="J41" s="13">
        <f>IF($D41=0,"",I41/$D41)</f>
        <v/>
      </c>
      <c r="K41" s="14">
        <f>IF(F41="","",IF(F41&lt;G41,"POR DEBAJO",IF(F41&gt;H41,"POR ENCIMA","EN MERCADO")))</f>
        <v/>
      </c>
      <c r="L41" s="15" t="inlineStr">
        <is>
          <t>D</t>
        </is>
      </c>
      <c r="M41" s="11" t="inlineStr"/>
      <c r="N41" s="8" t="inlineStr"/>
    </row>
    <row r="42">
      <c r="A42" s="8" t="inlineStr">
        <is>
          <t>FITNESS</t>
        </is>
      </c>
      <c r="B42" s="8" t="inlineStr">
        <is>
          <t>CP</t>
        </is>
      </c>
      <c r="C42" s="8" t="inlineStr">
        <is>
          <t>CJC-1295 + Ipamorelin</t>
        </is>
      </c>
      <c r="D42" s="9" t="n">
        <v>10</v>
      </c>
      <c r="E42" s="8" t="inlineStr">
        <is>
          <t>mg</t>
        </is>
      </c>
      <c r="F42" s="10" t="n">
        <v>1250</v>
      </c>
      <c r="G42" s="11">
        <f>BANDAS!$E$31*$D42*BANDAS!$E$5*BANDAS!$E$6</f>
        <v/>
      </c>
      <c r="H42" s="11">
        <f>BANDAS!$F$31*$D42*BANDAS!$E$5*BANDAS!$E$6</f>
        <v/>
      </c>
      <c r="I42" s="12">
        <f>ROUND(AVERAGE(G42,H42)/50,0)*50</f>
        <v/>
      </c>
      <c r="J42" s="13">
        <f>IF($D42=0,"",I42/$D42)</f>
        <v/>
      </c>
      <c r="K42" s="14">
        <f>IF(F42="","",IF(F42&lt;G42,"POR DEBAJO",IF(F42&gt;H42,"POR ENCIMA","EN MERCADO")))</f>
        <v/>
      </c>
      <c r="L42" s="16" t="inlineStr">
        <is>
          <t>V</t>
        </is>
      </c>
      <c r="M42" s="11" t="inlineStr"/>
      <c r="N42" s="8" t="inlineStr"/>
    </row>
    <row r="43">
      <c r="A43" s="8" t="inlineStr">
        <is>
          <t>FITNESS</t>
        </is>
      </c>
      <c r="B43" s="8" t="inlineStr">
        <is>
          <t>CS</t>
        </is>
      </c>
      <c r="C43" s="8" t="inlineStr">
        <is>
          <t>Cagri + Sema</t>
        </is>
      </c>
      <c r="D43" s="9" t="n">
        <v>5</v>
      </c>
      <c r="E43" s="8" t="inlineStr">
        <is>
          <t>mg</t>
        </is>
      </c>
      <c r="F43" s="10" t="n">
        <v>750</v>
      </c>
      <c r="G43" s="11">
        <f>BANDAS!$E$32*$D43*BANDAS!$E$5*BANDAS!$E$6</f>
        <v/>
      </c>
      <c r="H43" s="11">
        <f>BANDAS!$F$32*$D43*BANDAS!$E$5*BANDAS!$E$6</f>
        <v/>
      </c>
      <c r="I43" s="12">
        <f>ROUND(AVERAGE(G43,H43)/50,0)*50</f>
        <v/>
      </c>
      <c r="J43" s="13">
        <f>IF($D43=0,"",I43/$D43)</f>
        <v/>
      </c>
      <c r="K43" s="14">
        <f>IF(F43="","",IF(F43&lt;G43,"POR DEBAJO",IF(F43&gt;H43,"POR ENCIMA","EN MERCADO")))</f>
        <v/>
      </c>
      <c r="L43" s="15" t="inlineStr">
        <is>
          <t>D</t>
        </is>
      </c>
      <c r="M43" s="11" t="inlineStr"/>
      <c r="N43" s="8" t="inlineStr"/>
    </row>
    <row r="44">
      <c r="A44" s="8" t="inlineStr">
        <is>
          <t>FITNESS</t>
        </is>
      </c>
      <c r="B44" s="8" t="inlineStr">
        <is>
          <t>CS</t>
        </is>
      </c>
      <c r="C44" s="8" t="inlineStr">
        <is>
          <t>Cagri + Sema</t>
        </is>
      </c>
      <c r="D44" s="9" t="n">
        <v>10</v>
      </c>
      <c r="E44" s="8" t="inlineStr">
        <is>
          <t>mg</t>
        </is>
      </c>
      <c r="F44" s="10" t="n">
        <v>1200</v>
      </c>
      <c r="G44" s="11">
        <f>BANDAS!$E$32*$D44*BANDAS!$E$5*BANDAS!$E$6</f>
        <v/>
      </c>
      <c r="H44" s="11">
        <f>BANDAS!$F$32*$D44*BANDAS!$E$5*BANDAS!$E$6</f>
        <v/>
      </c>
      <c r="I44" s="12">
        <f>ROUND(AVERAGE(G44,H44)/50,0)*50</f>
        <v/>
      </c>
      <c r="J44" s="13">
        <f>IF($D44=0,"",I44/$D44)</f>
        <v/>
      </c>
      <c r="K44" s="14">
        <f>IF(F44="","",IF(F44&lt;G44,"POR DEBAJO",IF(F44&gt;H44,"POR ENCIMA","EN MERCADO")))</f>
        <v/>
      </c>
      <c r="L44" s="15" t="inlineStr">
        <is>
          <t>D</t>
        </is>
      </c>
      <c r="M44" s="11" t="inlineStr"/>
      <c r="N44" s="8" t="inlineStr"/>
    </row>
    <row r="45">
      <c r="A45" s="8" t="inlineStr">
        <is>
          <t>FITNESS</t>
        </is>
      </c>
      <c r="B45" s="8" t="inlineStr">
        <is>
          <t>CGL</t>
        </is>
      </c>
      <c r="C45" s="8" t="inlineStr">
        <is>
          <t>Cagrilintide</t>
        </is>
      </c>
      <c r="D45" s="9" t="n">
        <v>5</v>
      </c>
      <c r="E45" s="8" t="inlineStr">
        <is>
          <t>mg</t>
        </is>
      </c>
      <c r="F45" s="10" t="n">
        <v>900</v>
      </c>
      <c r="G45" s="11">
        <f>BANDAS!$E$33*$D45*BANDAS!$E$5*BANDAS!$E$6</f>
        <v/>
      </c>
      <c r="H45" s="11">
        <f>BANDAS!$F$33*$D45*BANDAS!$E$5*BANDAS!$E$6</f>
        <v/>
      </c>
      <c r="I45" s="12">
        <f>ROUND(AVERAGE(G45,H45)/50,0)*50</f>
        <v/>
      </c>
      <c r="J45" s="13">
        <f>IF($D45=0,"",I45/$D45)</f>
        <v/>
      </c>
      <c r="K45" s="14">
        <f>IF(F45="","",IF(F45&lt;G45,"POR DEBAJO",IF(F45&gt;H45,"POR ENCIMA","EN MERCADO")))</f>
        <v/>
      </c>
      <c r="L45" s="15" t="inlineStr">
        <is>
          <t>D</t>
        </is>
      </c>
      <c r="M45" s="11" t="inlineStr"/>
      <c r="N45" s="8" t="inlineStr"/>
    </row>
    <row r="46">
      <c r="A46" s="8" t="inlineStr">
        <is>
          <t>FITNESS</t>
        </is>
      </c>
      <c r="B46" s="8" t="inlineStr">
        <is>
          <t>CGL</t>
        </is>
      </c>
      <c r="C46" s="8" t="inlineStr">
        <is>
          <t>Cagrilintide</t>
        </is>
      </c>
      <c r="D46" s="9" t="n">
        <v>10</v>
      </c>
      <c r="E46" s="8" t="inlineStr">
        <is>
          <t>mg</t>
        </is>
      </c>
      <c r="F46" s="10" t="n">
        <v>1700</v>
      </c>
      <c r="G46" s="11">
        <f>BANDAS!$E$33*$D46*BANDAS!$E$5*BANDAS!$E$6</f>
        <v/>
      </c>
      <c r="H46" s="11">
        <f>BANDAS!$F$33*$D46*BANDAS!$E$5*BANDAS!$E$6</f>
        <v/>
      </c>
      <c r="I46" s="12">
        <f>ROUND(AVERAGE(G46,H46)/50,0)*50</f>
        <v/>
      </c>
      <c r="J46" s="13">
        <f>IF($D46=0,"",I46/$D46)</f>
        <v/>
      </c>
      <c r="K46" s="14">
        <f>IF(F46="","",IF(F46&lt;G46,"POR DEBAJO",IF(F46&gt;H46,"POR ENCIMA","EN MERCADO")))</f>
        <v/>
      </c>
      <c r="L46" s="15" t="inlineStr">
        <is>
          <t>D</t>
        </is>
      </c>
      <c r="M46" s="11" t="inlineStr"/>
      <c r="N46" s="8" t="inlineStr"/>
    </row>
    <row r="47">
      <c r="A47" s="8" t="inlineStr">
        <is>
          <t>FITNESS</t>
        </is>
      </c>
      <c r="B47" s="8" t="inlineStr">
        <is>
          <t>G2</t>
        </is>
      </c>
      <c r="C47" s="8" t="inlineStr">
        <is>
          <t>GHRP-2</t>
        </is>
      </c>
      <c r="D47" s="9" t="n">
        <v>5</v>
      </c>
      <c r="E47" s="8" t="inlineStr">
        <is>
          <t>mg</t>
        </is>
      </c>
      <c r="F47" s="10" t="n">
        <v>500</v>
      </c>
      <c r="G47" s="11">
        <f>BANDAS!$E$34*$D47*BANDAS!$E$5*BANDAS!$E$6</f>
        <v/>
      </c>
      <c r="H47" s="11">
        <f>BANDAS!$F$34*$D47*BANDAS!$E$5*BANDAS!$E$6</f>
        <v/>
      </c>
      <c r="I47" s="12">
        <f>ROUND(AVERAGE(G47,H47)/50,0)*50</f>
        <v/>
      </c>
      <c r="J47" s="13">
        <f>IF($D47=0,"",I47/$D47)</f>
        <v/>
      </c>
      <c r="K47" s="14">
        <f>IF(F47="","",IF(F47&lt;G47,"POR DEBAJO",IF(F47&gt;H47,"POR ENCIMA","EN MERCADO")))</f>
        <v/>
      </c>
      <c r="L47" s="15" t="inlineStr">
        <is>
          <t>D</t>
        </is>
      </c>
      <c r="M47" s="11" t="inlineStr"/>
      <c r="N47" s="8" t="inlineStr"/>
    </row>
    <row r="48">
      <c r="A48" s="8" t="inlineStr">
        <is>
          <t>FITNESS</t>
        </is>
      </c>
      <c r="B48" s="8" t="inlineStr">
        <is>
          <t>G2</t>
        </is>
      </c>
      <c r="C48" s="8" t="inlineStr">
        <is>
          <t>GHRP-2</t>
        </is>
      </c>
      <c r="D48" s="9" t="n">
        <v>10</v>
      </c>
      <c r="E48" s="8" t="inlineStr">
        <is>
          <t>mg</t>
        </is>
      </c>
      <c r="F48" s="10" t="n">
        <v>850</v>
      </c>
      <c r="G48" s="11">
        <f>BANDAS!$E$34*$D48*BANDAS!$E$5*BANDAS!$E$6</f>
        <v/>
      </c>
      <c r="H48" s="11">
        <f>BANDAS!$F$34*$D48*BANDAS!$E$5*BANDAS!$E$6</f>
        <v/>
      </c>
      <c r="I48" s="12">
        <f>ROUND(AVERAGE(G48,H48)/50,0)*50</f>
        <v/>
      </c>
      <c r="J48" s="13">
        <f>IF($D48=0,"",I48/$D48)</f>
        <v/>
      </c>
      <c r="K48" s="14">
        <f>IF(F48="","",IF(F48&lt;G48,"POR DEBAJO",IF(F48&gt;H48,"POR ENCIMA","EN MERCADO")))</f>
        <v/>
      </c>
      <c r="L48" s="15" t="inlineStr">
        <is>
          <t>D</t>
        </is>
      </c>
      <c r="M48" s="11" t="inlineStr"/>
      <c r="N48" s="8" t="inlineStr"/>
    </row>
    <row r="49">
      <c r="A49" s="8" t="inlineStr">
        <is>
          <t>FITNESS</t>
        </is>
      </c>
      <c r="B49" s="8" t="inlineStr">
        <is>
          <t>G6</t>
        </is>
      </c>
      <c r="C49" s="8" t="inlineStr">
        <is>
          <t>GHRP-6</t>
        </is>
      </c>
      <c r="D49" s="9" t="n">
        <v>5</v>
      </c>
      <c r="E49" s="8" t="inlineStr">
        <is>
          <t>mg</t>
        </is>
      </c>
      <c r="F49" s="10" t="n">
        <v>500</v>
      </c>
      <c r="G49" s="11">
        <f>BANDAS!$E$35*$D49*BANDAS!$E$5*BANDAS!$E$6</f>
        <v/>
      </c>
      <c r="H49" s="11">
        <f>BANDAS!$F$35*$D49*BANDAS!$E$5*BANDAS!$E$6</f>
        <v/>
      </c>
      <c r="I49" s="12">
        <f>ROUND(AVERAGE(G49,H49)/50,0)*50</f>
        <v/>
      </c>
      <c r="J49" s="13">
        <f>IF($D49=0,"",I49/$D49)</f>
        <v/>
      </c>
      <c r="K49" s="14">
        <f>IF(F49="","",IF(F49&lt;G49,"POR DEBAJO",IF(F49&gt;H49,"POR ENCIMA","EN MERCADO")))</f>
        <v/>
      </c>
      <c r="L49" s="15" t="inlineStr">
        <is>
          <t>D</t>
        </is>
      </c>
      <c r="M49" s="11" t="inlineStr"/>
      <c r="N49" s="8" t="inlineStr"/>
    </row>
    <row r="50">
      <c r="A50" s="8" t="inlineStr">
        <is>
          <t>FITNESS</t>
        </is>
      </c>
      <c r="B50" s="8" t="inlineStr">
        <is>
          <t>G6</t>
        </is>
      </c>
      <c r="C50" s="8" t="inlineStr">
        <is>
          <t>GHRP-6</t>
        </is>
      </c>
      <c r="D50" s="9" t="n">
        <v>10</v>
      </c>
      <c r="E50" s="8" t="inlineStr">
        <is>
          <t>mg</t>
        </is>
      </c>
      <c r="F50" s="10" t="n">
        <v>850</v>
      </c>
      <c r="G50" s="11">
        <f>BANDAS!$E$35*$D50*BANDAS!$E$5*BANDAS!$E$6</f>
        <v/>
      </c>
      <c r="H50" s="11">
        <f>BANDAS!$F$35*$D50*BANDAS!$E$5*BANDAS!$E$6</f>
        <v/>
      </c>
      <c r="I50" s="12">
        <f>ROUND(AVERAGE(G50,H50)/50,0)*50</f>
        <v/>
      </c>
      <c r="J50" s="13">
        <f>IF($D50=0,"",I50/$D50)</f>
        <v/>
      </c>
      <c r="K50" s="14">
        <f>IF(F50="","",IF(F50&lt;G50,"POR DEBAJO",IF(F50&gt;H50,"POR ENCIMA","EN MERCADO")))</f>
        <v/>
      </c>
      <c r="L50" s="15" t="inlineStr">
        <is>
          <t>D</t>
        </is>
      </c>
      <c r="M50" s="11" t="inlineStr"/>
      <c r="N50" s="8" t="inlineStr"/>
    </row>
    <row r="51">
      <c r="A51" s="8" t="inlineStr">
        <is>
          <t>FITNESS</t>
        </is>
      </c>
      <c r="B51" s="8" t="inlineStr">
        <is>
          <t>H</t>
        </is>
      </c>
      <c r="C51" s="8" t="inlineStr">
        <is>
          <t>HGH 191AA</t>
        </is>
      </c>
      <c r="D51" s="9" t="n">
        <v>10</v>
      </c>
      <c r="E51" s="8" t="inlineStr">
        <is>
          <t>iu</t>
        </is>
      </c>
      <c r="F51" s="10" t="n">
        <v>350</v>
      </c>
      <c r="G51" s="11">
        <f>BANDAS!$E$36*$D51*BANDAS!$E$5*BANDAS!$E$6</f>
        <v/>
      </c>
      <c r="H51" s="11">
        <f>BANDAS!$F$36*$D51*BANDAS!$E$5*BANDAS!$E$6</f>
        <v/>
      </c>
      <c r="I51" s="12">
        <f>ROUND(AVERAGE(G51,H51)/50,0)*50</f>
        <v/>
      </c>
      <c r="J51" s="13">
        <f>IF($D51=0,"",I51/$D51)</f>
        <v/>
      </c>
      <c r="K51" s="14">
        <f>IF(F51="","",IF(F51&lt;G51,"POR DEBAJO",IF(F51&gt;H51,"POR ENCIMA","EN MERCADO")))</f>
        <v/>
      </c>
      <c r="L51" s="15" t="inlineStr">
        <is>
          <t>D</t>
        </is>
      </c>
      <c r="M51" s="11" t="inlineStr"/>
      <c r="N51" s="8" t="inlineStr"/>
    </row>
    <row r="52">
      <c r="A52" s="8" t="inlineStr">
        <is>
          <t>FITNESS</t>
        </is>
      </c>
      <c r="B52" s="8" t="inlineStr">
        <is>
          <t>H</t>
        </is>
      </c>
      <c r="C52" s="8" t="inlineStr">
        <is>
          <t>HGH 191AA</t>
        </is>
      </c>
      <c r="D52" s="9" t="n">
        <v>12</v>
      </c>
      <c r="E52" s="8" t="inlineStr">
        <is>
          <t>iu</t>
        </is>
      </c>
      <c r="F52" s="10" t="n">
        <v>500</v>
      </c>
      <c r="G52" s="11">
        <f>BANDAS!$E$36*$D52*BANDAS!$E$5*BANDAS!$E$6</f>
        <v/>
      </c>
      <c r="H52" s="11">
        <f>BANDAS!$F$36*$D52*BANDAS!$E$5*BANDAS!$E$6</f>
        <v/>
      </c>
      <c r="I52" s="12">
        <f>ROUND(AVERAGE(G52,H52)/50,0)*50</f>
        <v/>
      </c>
      <c r="J52" s="13">
        <f>IF($D52=0,"",I52/$D52)</f>
        <v/>
      </c>
      <c r="K52" s="14">
        <f>IF(F52="","",IF(F52&lt;G52,"POR DEBAJO",IF(F52&gt;H52,"POR ENCIMA","EN MERCADO")))</f>
        <v/>
      </c>
      <c r="L52" s="15" t="inlineStr">
        <is>
          <t>D</t>
        </is>
      </c>
      <c r="M52" s="11" t="inlineStr"/>
      <c r="N52" s="8" t="inlineStr"/>
    </row>
    <row r="53">
      <c r="A53" s="8" t="inlineStr">
        <is>
          <t>FITNESS</t>
        </is>
      </c>
      <c r="B53" s="8" t="inlineStr">
        <is>
          <t>H</t>
        </is>
      </c>
      <c r="C53" s="8" t="inlineStr">
        <is>
          <t>HGH 191AA</t>
        </is>
      </c>
      <c r="D53" s="9" t="n">
        <v>15</v>
      </c>
      <c r="E53" s="8" t="inlineStr">
        <is>
          <t>iu</t>
        </is>
      </c>
      <c r="F53" s="10" t="n">
        <v>750</v>
      </c>
      <c r="G53" s="11">
        <f>BANDAS!$E$36*$D53*BANDAS!$E$5*BANDAS!$E$6</f>
        <v/>
      </c>
      <c r="H53" s="11">
        <f>BANDAS!$F$36*$D53*BANDAS!$E$5*BANDAS!$E$6</f>
        <v/>
      </c>
      <c r="I53" s="12">
        <f>ROUND(AVERAGE(G53,H53)/50,0)*50</f>
        <v/>
      </c>
      <c r="J53" s="13">
        <f>IF($D53=0,"",I53/$D53)</f>
        <v/>
      </c>
      <c r="K53" s="14">
        <f>IF(F53="","",IF(F53&lt;G53,"POR DEBAJO",IF(F53&gt;H53,"POR ENCIMA","EN MERCADO")))</f>
        <v/>
      </c>
      <c r="L53" s="15" t="inlineStr">
        <is>
          <t>D</t>
        </is>
      </c>
      <c r="M53" s="11" t="inlineStr"/>
      <c r="N53" s="8" t="inlineStr"/>
    </row>
    <row r="54">
      <c r="A54" s="8" t="inlineStr">
        <is>
          <t>FITNESS</t>
        </is>
      </c>
      <c r="B54" s="8" t="inlineStr">
        <is>
          <t>H</t>
        </is>
      </c>
      <c r="C54" s="8" t="inlineStr">
        <is>
          <t>HGH 191AA</t>
        </is>
      </c>
      <c r="D54" s="9" t="n">
        <v>24</v>
      </c>
      <c r="E54" s="8" t="inlineStr">
        <is>
          <t>iu</t>
        </is>
      </c>
      <c r="F54" s="10" t="n">
        <v>850</v>
      </c>
      <c r="G54" s="11">
        <f>BANDAS!$E$36*$D54*BANDAS!$E$5*BANDAS!$E$6</f>
        <v/>
      </c>
      <c r="H54" s="11">
        <f>BANDAS!$F$36*$D54*BANDAS!$E$5*BANDAS!$E$6</f>
        <v/>
      </c>
      <c r="I54" s="12">
        <f>ROUND(AVERAGE(G54,H54)/50,0)*50</f>
        <v/>
      </c>
      <c r="J54" s="13">
        <f>IF($D54=0,"",I54/$D54)</f>
        <v/>
      </c>
      <c r="K54" s="14">
        <f>IF(F54="","",IF(F54&lt;G54,"POR DEBAJO",IF(F54&gt;H54,"POR ENCIMA","EN MERCADO")))</f>
        <v/>
      </c>
      <c r="L54" s="15" t="inlineStr">
        <is>
          <t>D</t>
        </is>
      </c>
      <c r="M54" s="11" t="inlineStr"/>
      <c r="N54" s="8" t="inlineStr"/>
    </row>
    <row r="55">
      <c r="A55" s="8" t="inlineStr">
        <is>
          <t>FITNESS</t>
        </is>
      </c>
      <c r="B55" s="8" t="inlineStr">
        <is>
          <t>H</t>
        </is>
      </c>
      <c r="C55" s="8" t="inlineStr">
        <is>
          <t>HGH 191AA</t>
        </is>
      </c>
      <c r="D55" s="9" t="n">
        <v>36</v>
      </c>
      <c r="E55" s="8" t="inlineStr">
        <is>
          <t>iu</t>
        </is>
      </c>
      <c r="F55" s="10" t="n">
        <v>1350</v>
      </c>
      <c r="G55" s="11">
        <f>BANDAS!$E$36*$D55*BANDAS!$E$5*BANDAS!$E$6</f>
        <v/>
      </c>
      <c r="H55" s="11">
        <f>BANDAS!$F$36*$D55*BANDAS!$E$5*BANDAS!$E$6</f>
        <v/>
      </c>
      <c r="I55" s="12">
        <f>ROUND(AVERAGE(G55,H55)/50,0)*50</f>
        <v/>
      </c>
      <c r="J55" s="13">
        <f>IF($D55=0,"",I55/$D55)</f>
        <v/>
      </c>
      <c r="K55" s="14">
        <f>IF(F55="","",IF(F55&lt;G55,"POR DEBAJO",IF(F55&gt;H55,"POR ENCIMA","EN MERCADO")))</f>
        <v/>
      </c>
      <c r="L55" s="15" t="inlineStr">
        <is>
          <t>D</t>
        </is>
      </c>
      <c r="M55" s="11" t="inlineStr"/>
      <c r="N55" s="8" t="inlineStr"/>
    </row>
    <row r="56">
      <c r="A56" s="8" t="inlineStr">
        <is>
          <t>FITNESS</t>
        </is>
      </c>
      <c r="B56" s="8" t="inlineStr">
        <is>
          <t>HX</t>
        </is>
      </c>
      <c r="C56" s="8" t="inlineStr">
        <is>
          <t>Hexarelin</t>
        </is>
      </c>
      <c r="D56" s="9" t="n">
        <v>2</v>
      </c>
      <c r="E56" s="8" t="inlineStr">
        <is>
          <t>mg</t>
        </is>
      </c>
      <c r="F56" s="10" t="n">
        <v>350</v>
      </c>
      <c r="G56" s="11">
        <f>BANDAS!$E$37*$D56*BANDAS!$E$5*BANDAS!$E$6</f>
        <v/>
      </c>
      <c r="H56" s="11">
        <f>BANDAS!$F$37*$D56*BANDAS!$E$5*BANDAS!$E$6</f>
        <v/>
      </c>
      <c r="I56" s="12">
        <f>ROUND(AVERAGE(G56,H56)/50,0)*50</f>
        <v/>
      </c>
      <c r="J56" s="13">
        <f>IF($D56=0,"",I56/$D56)</f>
        <v/>
      </c>
      <c r="K56" s="14">
        <f>IF(F56="","",IF(F56&lt;G56,"POR DEBAJO",IF(F56&gt;H56,"POR ENCIMA","EN MERCADO")))</f>
        <v/>
      </c>
      <c r="L56" s="15" t="inlineStr">
        <is>
          <t>D</t>
        </is>
      </c>
      <c r="M56" s="11" t="inlineStr"/>
      <c r="N56" s="8" t="inlineStr"/>
    </row>
    <row r="57">
      <c r="A57" s="8" t="inlineStr">
        <is>
          <t>FITNESS</t>
        </is>
      </c>
      <c r="B57" s="8" t="inlineStr">
        <is>
          <t>HX</t>
        </is>
      </c>
      <c r="C57" s="8" t="inlineStr">
        <is>
          <t>Hexarelin</t>
        </is>
      </c>
      <c r="D57" s="9" t="n">
        <v>5</v>
      </c>
      <c r="E57" s="8" t="inlineStr">
        <is>
          <t>mg</t>
        </is>
      </c>
      <c r="F57" s="10" t="n">
        <v>850</v>
      </c>
      <c r="G57" s="11">
        <f>BANDAS!$E$37*$D57*BANDAS!$E$5*BANDAS!$E$6</f>
        <v/>
      </c>
      <c r="H57" s="11">
        <f>BANDAS!$F$37*$D57*BANDAS!$E$5*BANDAS!$E$6</f>
        <v/>
      </c>
      <c r="I57" s="12">
        <f>ROUND(AVERAGE(G57,H57)/50,0)*50</f>
        <v/>
      </c>
      <c r="J57" s="13">
        <f>IF($D57=0,"",I57/$D57)</f>
        <v/>
      </c>
      <c r="K57" s="14">
        <f>IF(F57="","",IF(F57&lt;G57,"POR DEBAJO",IF(F57&gt;H57,"POR ENCIMA","EN MERCADO")))</f>
        <v/>
      </c>
      <c r="L57" s="15" t="inlineStr">
        <is>
          <t>D</t>
        </is>
      </c>
      <c r="M57" s="11" t="inlineStr"/>
      <c r="N57" s="8" t="inlineStr"/>
    </row>
    <row r="58">
      <c r="A58" s="8" t="inlineStr">
        <is>
          <t>FITNESS</t>
        </is>
      </c>
      <c r="B58" s="8" t="inlineStr">
        <is>
          <t>IG</t>
        </is>
      </c>
      <c r="C58" s="8" t="inlineStr">
        <is>
          <t>IGF-1 LR3</t>
        </is>
      </c>
      <c r="D58" s="9" t="n">
        <v>0.1</v>
      </c>
      <c r="E58" s="8" t="inlineStr">
        <is>
          <t>mg</t>
        </is>
      </c>
      <c r="F58" s="10" t="n">
        <v>300</v>
      </c>
      <c r="G58" s="11">
        <f>BANDAS!$E$38*$D58*BANDAS!$E$5*BANDAS!$E$6</f>
        <v/>
      </c>
      <c r="H58" s="11">
        <f>BANDAS!$F$38*$D58*BANDAS!$E$5*BANDAS!$E$6</f>
        <v/>
      </c>
      <c r="I58" s="12">
        <f>ROUND(AVERAGE(G58,H58)/50,0)*50</f>
        <v/>
      </c>
      <c r="J58" s="13">
        <f>IF($D58=0,"",I58/$D58)</f>
        <v/>
      </c>
      <c r="K58" s="14">
        <f>IF(F58="","",IF(F58&lt;G58,"POR DEBAJO",IF(F58&gt;H58,"POR ENCIMA","EN MERCADO")))</f>
        <v/>
      </c>
      <c r="L58" s="15" t="inlineStr">
        <is>
          <t>D</t>
        </is>
      </c>
      <c r="M58" s="11" t="inlineStr"/>
      <c r="N58" s="8" t="inlineStr"/>
    </row>
    <row r="59">
      <c r="A59" s="8" t="inlineStr">
        <is>
          <t>FITNESS</t>
        </is>
      </c>
      <c r="B59" s="8" t="inlineStr">
        <is>
          <t>IG</t>
        </is>
      </c>
      <c r="C59" s="8" t="inlineStr">
        <is>
          <t>IGF-1 LR3</t>
        </is>
      </c>
      <c r="D59" s="9" t="n">
        <v>1</v>
      </c>
      <c r="E59" s="8" t="inlineStr">
        <is>
          <t>mg</t>
        </is>
      </c>
      <c r="F59" s="10" t="n">
        <v>1350</v>
      </c>
      <c r="G59" s="11">
        <f>BANDAS!$E$38*$D59*BANDAS!$E$5*BANDAS!$E$6</f>
        <v/>
      </c>
      <c r="H59" s="11">
        <f>BANDAS!$F$38*$D59*BANDAS!$E$5*BANDAS!$E$6</f>
        <v/>
      </c>
      <c r="I59" s="12">
        <f>ROUND(AVERAGE(G59,H59)/50,0)*50</f>
        <v/>
      </c>
      <c r="J59" s="13">
        <f>IF($D59=0,"",I59/$D59)</f>
        <v/>
      </c>
      <c r="K59" s="14">
        <f>IF(F59="","",IF(F59&lt;G59,"POR DEBAJO",IF(F59&gt;H59,"POR ENCIMA","EN MERCADO")))</f>
        <v/>
      </c>
      <c r="L59" s="15" t="inlineStr">
        <is>
          <t>D</t>
        </is>
      </c>
      <c r="M59" s="11" t="inlineStr"/>
      <c r="N59" s="8" t="inlineStr"/>
    </row>
    <row r="60">
      <c r="A60" s="8" t="inlineStr">
        <is>
          <t>FITNESS</t>
        </is>
      </c>
      <c r="B60" s="8" t="inlineStr">
        <is>
          <t>IPA</t>
        </is>
      </c>
      <c r="C60" s="8" t="inlineStr">
        <is>
          <t>Ipamorelin</t>
        </is>
      </c>
      <c r="D60" s="9" t="n">
        <v>5</v>
      </c>
      <c r="E60" s="8" t="inlineStr">
        <is>
          <t>mg</t>
        </is>
      </c>
      <c r="F60" s="10" t="n">
        <v>500</v>
      </c>
      <c r="G60" s="11">
        <f>BANDAS!$E$39*$D60*BANDAS!$E$5*BANDAS!$E$6</f>
        <v/>
      </c>
      <c r="H60" s="11">
        <f>BANDAS!$F$39*$D60*BANDAS!$E$5*BANDAS!$E$6</f>
        <v/>
      </c>
      <c r="I60" s="12">
        <f>ROUND(AVERAGE(G60,H60)/50,0)*50</f>
        <v/>
      </c>
      <c r="J60" s="13">
        <f>IF($D60=0,"",I60/$D60)</f>
        <v/>
      </c>
      <c r="K60" s="14">
        <f>IF(F60="","",IF(F60&lt;G60,"POR DEBAJO",IF(F60&gt;H60,"POR ENCIMA","EN MERCADO")))</f>
        <v/>
      </c>
      <c r="L60" s="15" t="inlineStr">
        <is>
          <t>D</t>
        </is>
      </c>
      <c r="M60" s="11" t="inlineStr"/>
      <c r="N60" s="8" t="inlineStr"/>
    </row>
    <row r="61">
      <c r="A61" s="8" t="inlineStr">
        <is>
          <t>FITNESS</t>
        </is>
      </c>
      <c r="B61" s="8" t="inlineStr">
        <is>
          <t>IPA</t>
        </is>
      </c>
      <c r="C61" s="8" t="inlineStr">
        <is>
          <t>Ipamorelin</t>
        </is>
      </c>
      <c r="D61" s="9" t="n">
        <v>10</v>
      </c>
      <c r="E61" s="8" t="inlineStr">
        <is>
          <t>mg</t>
        </is>
      </c>
      <c r="F61" s="10" t="n">
        <v>1000</v>
      </c>
      <c r="G61" s="11">
        <f>BANDAS!$E$39*$D61*BANDAS!$E$5*BANDAS!$E$6</f>
        <v/>
      </c>
      <c r="H61" s="11">
        <f>BANDAS!$F$39*$D61*BANDAS!$E$5*BANDAS!$E$6</f>
        <v/>
      </c>
      <c r="I61" s="12">
        <f>ROUND(AVERAGE(G61,H61)/50,0)*50</f>
        <v/>
      </c>
      <c r="J61" s="13">
        <f>IF($D61=0,"",I61/$D61)</f>
        <v/>
      </c>
      <c r="K61" s="14">
        <f>IF(F61="","",IF(F61&lt;G61,"POR DEBAJO",IF(F61&gt;H61,"POR ENCIMA","EN MERCADO")))</f>
        <v/>
      </c>
      <c r="L61" s="15" t="inlineStr">
        <is>
          <t>D</t>
        </is>
      </c>
      <c r="M61" s="11" t="inlineStr"/>
      <c r="N61" s="8" t="inlineStr"/>
    </row>
    <row r="62">
      <c r="A62" s="8" t="inlineStr">
        <is>
          <t>FITNESS</t>
        </is>
      </c>
      <c r="B62" s="8" t="inlineStr">
        <is>
          <t>LC</t>
        </is>
      </c>
      <c r="C62" s="8" t="inlineStr">
        <is>
          <t>L-Carnitine</t>
        </is>
      </c>
      <c r="D62" s="9" t="n">
        <v>600</v>
      </c>
      <c r="E62" s="8" t="inlineStr">
        <is>
          <t>mg</t>
        </is>
      </c>
      <c r="F62" s="10" t="n">
        <v>750</v>
      </c>
      <c r="G62" s="11">
        <f>BANDAS!$E$40*$D62*BANDAS!$E$5*BANDAS!$E$6</f>
        <v/>
      </c>
      <c r="H62" s="11">
        <f>BANDAS!$F$40*$D62*BANDAS!$E$5*BANDAS!$E$6</f>
        <v/>
      </c>
      <c r="I62" s="12">
        <f>ROUND(AVERAGE(G62,H62)/50,0)*50</f>
        <v/>
      </c>
      <c r="J62" s="13">
        <f>IF($D62=0,"",I62/$D62)</f>
        <v/>
      </c>
      <c r="K62" s="14">
        <f>IF(F62="","",IF(F62&lt;G62,"POR DEBAJO",IF(F62&gt;H62,"POR ENCIMA","EN MERCADO")))</f>
        <v/>
      </c>
      <c r="L62" s="15" t="inlineStr">
        <is>
          <t>D</t>
        </is>
      </c>
      <c r="M62" s="11" t="inlineStr"/>
      <c r="N62" s="8" t="inlineStr"/>
    </row>
    <row r="63">
      <c r="A63" s="8" t="inlineStr">
        <is>
          <t>FITNESS</t>
        </is>
      </c>
      <c r="B63" s="8" t="inlineStr">
        <is>
          <t>LC</t>
        </is>
      </c>
      <c r="C63" s="8" t="inlineStr">
        <is>
          <t>L-Carnitine</t>
        </is>
      </c>
      <c r="D63" s="9" t="n">
        <v>1200</v>
      </c>
      <c r="E63" s="8" t="inlineStr">
        <is>
          <t>mg</t>
        </is>
      </c>
      <c r="F63" s="10" t="n">
        <v>1350</v>
      </c>
      <c r="G63" s="11">
        <f>BANDAS!$E$40*$D63*BANDAS!$E$5*BANDAS!$E$6</f>
        <v/>
      </c>
      <c r="H63" s="11">
        <f>BANDAS!$F$40*$D63*BANDAS!$E$5*BANDAS!$E$6</f>
        <v/>
      </c>
      <c r="I63" s="12">
        <f>ROUND(AVERAGE(G63,H63)/50,0)*50</f>
        <v/>
      </c>
      <c r="J63" s="13">
        <f>IF($D63=0,"",I63/$D63)</f>
        <v/>
      </c>
      <c r="K63" s="14">
        <f>IF(F63="","",IF(F63&lt;G63,"POR DEBAJO",IF(F63&gt;H63,"POR ENCIMA","EN MERCADO")))</f>
        <v/>
      </c>
      <c r="L63" s="15" t="inlineStr">
        <is>
          <t>D</t>
        </is>
      </c>
      <c r="M63" s="11" t="inlineStr"/>
      <c r="N63" s="8" t="inlineStr"/>
    </row>
    <row r="64">
      <c r="A64" s="8" t="inlineStr">
        <is>
          <t>FITNESS</t>
        </is>
      </c>
      <c r="B64" s="8" t="inlineStr">
        <is>
          <t>MIC</t>
        </is>
      </c>
      <c r="C64" s="8" t="inlineStr">
        <is>
          <t>Lipo-C + B12</t>
        </is>
      </c>
      <c r="D64" s="9" t="n">
        <v>10</v>
      </c>
      <c r="E64" s="8" t="inlineStr">
        <is>
          <t>ml</t>
        </is>
      </c>
      <c r="F64" s="10" t="n">
        <v>6900</v>
      </c>
      <c r="G64" s="11">
        <f>BANDAS!$E$41*$D64*BANDAS!$E$5*BANDAS!$E$6</f>
        <v/>
      </c>
      <c r="H64" s="11">
        <f>BANDAS!$F$41*$D64*BANDAS!$E$5*BANDAS!$E$6</f>
        <v/>
      </c>
      <c r="I64" s="12">
        <f>ROUND(AVERAGE(G64,H64)/50,0)*50</f>
        <v/>
      </c>
      <c r="J64" s="13">
        <f>IF($D64=0,"",I64/$D64)</f>
        <v/>
      </c>
      <c r="K64" s="14">
        <f>IF(F64="","",IF(F64&lt;G64,"POR DEBAJO",IF(F64&gt;H64,"POR ENCIMA","EN MERCADO")))</f>
        <v/>
      </c>
      <c r="L64" s="15" t="inlineStr">
        <is>
          <t>D</t>
        </is>
      </c>
      <c r="M64" s="11" t="inlineStr"/>
      <c r="N64" s="8" t="inlineStr"/>
    </row>
    <row r="65">
      <c r="A65" s="8" t="inlineStr">
        <is>
          <t>FITNESS</t>
        </is>
      </c>
      <c r="B65" s="8" t="inlineStr">
        <is>
          <t>MS</t>
        </is>
      </c>
      <c r="C65" s="8" t="inlineStr">
        <is>
          <t>MOTS-c</t>
        </is>
      </c>
      <c r="D65" s="9" t="n">
        <v>10</v>
      </c>
      <c r="E65" s="8" t="inlineStr">
        <is>
          <t>mg</t>
        </is>
      </c>
      <c r="F65" s="10" t="n">
        <v>850</v>
      </c>
      <c r="G65" s="11">
        <f>BANDAS!$E$42*$D65*BANDAS!$E$5*BANDAS!$E$6</f>
        <v/>
      </c>
      <c r="H65" s="11">
        <f>BANDAS!$F$42*$D65*BANDAS!$E$5*BANDAS!$E$6</f>
        <v/>
      </c>
      <c r="I65" s="12">
        <f>ROUND(AVERAGE(G65,H65)/50,0)*50</f>
        <v/>
      </c>
      <c r="J65" s="13">
        <f>IF($D65=0,"",I65/$D65)</f>
        <v/>
      </c>
      <c r="K65" s="14">
        <f>IF(F65="","",IF(F65&lt;G65,"POR DEBAJO",IF(F65&gt;H65,"POR ENCIMA","EN MERCADO")))</f>
        <v/>
      </c>
      <c r="L65" s="15" t="inlineStr">
        <is>
          <t>D</t>
        </is>
      </c>
      <c r="M65" s="11" t="inlineStr"/>
      <c r="N65" s="8" t="inlineStr"/>
    </row>
    <row r="66">
      <c r="A66" s="8" t="inlineStr">
        <is>
          <t>FITNESS</t>
        </is>
      </c>
      <c r="B66" s="8" t="inlineStr">
        <is>
          <t>MS</t>
        </is>
      </c>
      <c r="C66" s="8" t="inlineStr">
        <is>
          <t>MOTS-c</t>
        </is>
      </c>
      <c r="D66" s="9" t="n">
        <v>20</v>
      </c>
      <c r="E66" s="8" t="inlineStr">
        <is>
          <t>mg</t>
        </is>
      </c>
      <c r="F66" s="10" t="n">
        <v>1600</v>
      </c>
      <c r="G66" s="11">
        <f>BANDAS!$E$42*$D66*BANDAS!$E$5*BANDAS!$E$6</f>
        <v/>
      </c>
      <c r="H66" s="11">
        <f>BANDAS!$F$42*$D66*BANDAS!$E$5*BANDAS!$E$6</f>
        <v/>
      </c>
      <c r="I66" s="12">
        <f>ROUND(AVERAGE(G66,H66)/50,0)*50</f>
        <v/>
      </c>
      <c r="J66" s="13">
        <f>IF($D66=0,"",I66/$D66)</f>
        <v/>
      </c>
      <c r="K66" s="14">
        <f>IF(F66="","",IF(F66&lt;G66,"POR DEBAJO",IF(F66&gt;H66,"POR ENCIMA","EN MERCADO")))</f>
        <v/>
      </c>
      <c r="L66" s="15" t="inlineStr">
        <is>
          <t>D</t>
        </is>
      </c>
      <c r="M66" s="11" t="inlineStr"/>
      <c r="N66" s="8" t="inlineStr"/>
    </row>
    <row r="67">
      <c r="A67" s="8" t="inlineStr">
        <is>
          <t>FITNESS</t>
        </is>
      </c>
      <c r="B67" s="8" t="inlineStr">
        <is>
          <t>MS</t>
        </is>
      </c>
      <c r="C67" s="8" t="inlineStr">
        <is>
          <t>MOTS-c</t>
        </is>
      </c>
      <c r="D67" s="9" t="n">
        <v>40</v>
      </c>
      <c r="E67" s="8" t="inlineStr">
        <is>
          <t>mg</t>
        </is>
      </c>
      <c r="F67" s="10" t="n">
        <v>3200</v>
      </c>
      <c r="G67" s="11">
        <f>BANDAS!$E$42*$D67*BANDAS!$E$5*BANDAS!$E$6</f>
        <v/>
      </c>
      <c r="H67" s="11">
        <f>BANDAS!$F$42*$D67*BANDAS!$E$5*BANDAS!$E$6</f>
        <v/>
      </c>
      <c r="I67" s="12">
        <f>ROUND(AVERAGE(G67,H67)/50,0)*50</f>
        <v/>
      </c>
      <c r="J67" s="13">
        <f>IF($D67=0,"",I67/$D67)</f>
        <v/>
      </c>
      <c r="K67" s="14">
        <f>IF(F67="","",IF(F67&lt;G67,"POR DEBAJO",IF(F67&gt;H67,"POR ENCIMA","EN MERCADO")))</f>
        <v/>
      </c>
      <c r="L67" s="15" t="inlineStr">
        <is>
          <t>D</t>
        </is>
      </c>
      <c r="M67" s="11" t="inlineStr"/>
      <c r="N67" s="8" t="inlineStr"/>
    </row>
    <row r="68">
      <c r="A68" s="8" t="inlineStr">
        <is>
          <t>FITNESS</t>
        </is>
      </c>
      <c r="B68" s="8" t="inlineStr">
        <is>
          <t>MZ</t>
        </is>
      </c>
      <c r="C68" s="8" t="inlineStr">
        <is>
          <t>Mazdutide</t>
        </is>
      </c>
      <c r="D68" s="9" t="n">
        <v>5</v>
      </c>
      <c r="E68" s="8" t="inlineStr">
        <is>
          <t>mg</t>
        </is>
      </c>
      <c r="F68" s="10" t="n">
        <v>750</v>
      </c>
      <c r="G68" s="11">
        <f>BANDAS!$E$43*$D68*BANDAS!$E$5*BANDAS!$E$6</f>
        <v/>
      </c>
      <c r="H68" s="11">
        <f>BANDAS!$F$43*$D68*BANDAS!$E$5*BANDAS!$E$6</f>
        <v/>
      </c>
      <c r="I68" s="12">
        <f>ROUND(AVERAGE(G68,H68)/50,0)*50</f>
        <v/>
      </c>
      <c r="J68" s="13">
        <f>IF($D68=0,"",I68/$D68)</f>
        <v/>
      </c>
      <c r="K68" s="14">
        <f>IF(F68="","",IF(F68&lt;G68,"POR DEBAJO",IF(F68&gt;H68,"POR ENCIMA","EN MERCADO")))</f>
        <v/>
      </c>
      <c r="L68" s="15" t="inlineStr">
        <is>
          <t>D</t>
        </is>
      </c>
      <c r="M68" s="11" t="inlineStr"/>
      <c r="N68" s="8" t="inlineStr"/>
    </row>
    <row r="69">
      <c r="A69" s="8" t="inlineStr">
        <is>
          <t>FITNESS</t>
        </is>
      </c>
      <c r="B69" s="8" t="inlineStr">
        <is>
          <t>MZ</t>
        </is>
      </c>
      <c r="C69" s="8" t="inlineStr">
        <is>
          <t>Mazdutide</t>
        </is>
      </c>
      <c r="D69" s="9" t="n">
        <v>10</v>
      </c>
      <c r="E69" s="8" t="inlineStr">
        <is>
          <t>mg</t>
        </is>
      </c>
      <c r="F69" s="10" t="n">
        <v>1350</v>
      </c>
      <c r="G69" s="11">
        <f>BANDAS!$E$43*$D69*BANDAS!$E$5*BANDAS!$E$6</f>
        <v/>
      </c>
      <c r="H69" s="11">
        <f>BANDAS!$F$43*$D69*BANDAS!$E$5*BANDAS!$E$6</f>
        <v/>
      </c>
      <c r="I69" s="12">
        <f>ROUND(AVERAGE(G69,H69)/50,0)*50</f>
        <v/>
      </c>
      <c r="J69" s="13">
        <f>IF($D69=0,"",I69/$D69)</f>
        <v/>
      </c>
      <c r="K69" s="14">
        <f>IF(F69="","",IF(F69&lt;G69,"POR DEBAJO",IF(F69&gt;H69,"POR ENCIMA","EN MERCADO")))</f>
        <v/>
      </c>
      <c r="L69" s="15" t="inlineStr">
        <is>
          <t>D</t>
        </is>
      </c>
      <c r="M69" s="11" t="inlineStr"/>
      <c r="N69" s="8" t="inlineStr"/>
    </row>
    <row r="70">
      <c r="A70" s="8" t="inlineStr">
        <is>
          <t>FITNESS</t>
        </is>
      </c>
      <c r="B70" s="8" t="inlineStr">
        <is>
          <t>RT</t>
        </is>
      </c>
      <c r="C70" s="8" t="inlineStr">
        <is>
          <t>Retatrutide</t>
        </is>
      </c>
      <c r="D70" s="9" t="n">
        <v>5</v>
      </c>
      <c r="E70" s="8" t="inlineStr">
        <is>
          <t>mg</t>
        </is>
      </c>
      <c r="F70" s="10" t="n">
        <v>850</v>
      </c>
      <c r="G70" s="11">
        <f>BANDAS!$E$44*$D70*BANDAS!$E$5*BANDAS!$E$6</f>
        <v/>
      </c>
      <c r="H70" s="11">
        <f>BANDAS!$F$44*$D70*BANDAS!$E$5*BANDAS!$E$6</f>
        <v/>
      </c>
      <c r="I70" s="12">
        <f>ROUND(AVERAGE(G70,H70)/50,0)*50</f>
        <v/>
      </c>
      <c r="J70" s="13">
        <f>IF($D70=0,"",I70/$D70)</f>
        <v/>
      </c>
      <c r="K70" s="14">
        <f>IF(F70="","",IF(F70&lt;G70,"POR DEBAJO",IF(F70&gt;H70,"POR ENCIMA","EN MERCADO")))</f>
        <v/>
      </c>
      <c r="L70" s="16" t="inlineStr">
        <is>
          <t>V</t>
        </is>
      </c>
      <c r="M70" s="11" t="inlineStr"/>
      <c r="N70" s="8" t="inlineStr"/>
    </row>
    <row r="71">
      <c r="A71" s="8" t="inlineStr">
        <is>
          <t>FITNESS</t>
        </is>
      </c>
      <c r="B71" s="8" t="inlineStr">
        <is>
          <t>RT</t>
        </is>
      </c>
      <c r="C71" s="8" t="inlineStr">
        <is>
          <t>Retatrutide</t>
        </is>
      </c>
      <c r="D71" s="9" t="n">
        <v>10</v>
      </c>
      <c r="E71" s="8" t="inlineStr">
        <is>
          <t>mg</t>
        </is>
      </c>
      <c r="F71" s="10" t="n">
        <v>1650</v>
      </c>
      <c r="G71" s="11">
        <f>BANDAS!$E$44*$D71*BANDAS!$E$5*BANDAS!$E$6</f>
        <v/>
      </c>
      <c r="H71" s="11">
        <f>BANDAS!$F$44*$D71*BANDAS!$E$5*BANDAS!$E$6</f>
        <v/>
      </c>
      <c r="I71" s="12">
        <f>ROUND(AVERAGE(G71,H71)/50,0)*50</f>
        <v/>
      </c>
      <c r="J71" s="13">
        <f>IF($D71=0,"",I71/$D71)</f>
        <v/>
      </c>
      <c r="K71" s="14">
        <f>IF(F71="","",IF(F71&lt;G71,"POR DEBAJO",IF(F71&gt;H71,"POR ENCIMA","EN MERCADO")))</f>
        <v/>
      </c>
      <c r="L71" s="16" t="inlineStr">
        <is>
          <t>V</t>
        </is>
      </c>
      <c r="M71" s="11" t="n">
        <v>960</v>
      </c>
      <c r="N71" s="8" t="inlineStr">
        <is>
          <t>exomapeptides.mx</t>
        </is>
      </c>
    </row>
    <row r="72">
      <c r="A72" s="8" t="inlineStr">
        <is>
          <t>FITNESS</t>
        </is>
      </c>
      <c r="B72" s="8" t="inlineStr">
        <is>
          <t>RT</t>
        </is>
      </c>
      <c r="C72" s="8" t="inlineStr">
        <is>
          <t>Retatrutide</t>
        </is>
      </c>
      <c r="D72" s="9" t="n">
        <v>15</v>
      </c>
      <c r="E72" s="8" t="inlineStr">
        <is>
          <t>mg</t>
        </is>
      </c>
      <c r="F72" s="10" t="n">
        <v>2450</v>
      </c>
      <c r="G72" s="11">
        <f>BANDAS!$E$44*$D72*BANDAS!$E$5*BANDAS!$E$6</f>
        <v/>
      </c>
      <c r="H72" s="11">
        <f>BANDAS!$F$44*$D72*BANDAS!$E$5*BANDAS!$E$6</f>
        <v/>
      </c>
      <c r="I72" s="12">
        <f>ROUND(AVERAGE(G72,H72)/50,0)*50</f>
        <v/>
      </c>
      <c r="J72" s="13">
        <f>IF($D72=0,"",I72/$D72)</f>
        <v/>
      </c>
      <c r="K72" s="14">
        <f>IF(F72="","",IF(F72&lt;G72,"POR DEBAJO",IF(F72&gt;H72,"POR ENCIMA","EN MERCADO")))</f>
        <v/>
      </c>
      <c r="L72" s="16" t="inlineStr">
        <is>
          <t>V</t>
        </is>
      </c>
      <c r="M72" s="11" t="inlineStr"/>
      <c r="N72" s="8" t="inlineStr"/>
    </row>
    <row r="73">
      <c r="A73" s="8" t="inlineStr">
        <is>
          <t>FITNESS</t>
        </is>
      </c>
      <c r="B73" s="8" t="inlineStr">
        <is>
          <t>RT</t>
        </is>
      </c>
      <c r="C73" s="8" t="inlineStr">
        <is>
          <t>Retatrutide</t>
        </is>
      </c>
      <c r="D73" s="9" t="n">
        <v>20</v>
      </c>
      <c r="E73" s="8" t="inlineStr">
        <is>
          <t>mg</t>
        </is>
      </c>
      <c r="F73" s="10" t="n">
        <v>3200</v>
      </c>
      <c r="G73" s="11">
        <f>BANDAS!$E$44*$D73*BANDAS!$E$5*BANDAS!$E$6</f>
        <v/>
      </c>
      <c r="H73" s="11">
        <f>BANDAS!$F$44*$D73*BANDAS!$E$5*BANDAS!$E$6</f>
        <v/>
      </c>
      <c r="I73" s="12">
        <f>ROUND(AVERAGE(G73,H73)/50,0)*50</f>
        <v/>
      </c>
      <c r="J73" s="13">
        <f>IF($D73=0,"",I73/$D73)</f>
        <v/>
      </c>
      <c r="K73" s="14">
        <f>IF(F73="","",IF(F73&lt;G73,"POR DEBAJO",IF(F73&gt;H73,"POR ENCIMA","EN MERCADO")))</f>
        <v/>
      </c>
      <c r="L73" s="16" t="inlineStr">
        <is>
          <t>V</t>
        </is>
      </c>
      <c r="M73" s="11" t="inlineStr"/>
      <c r="N73" s="8" t="inlineStr"/>
    </row>
    <row r="74">
      <c r="A74" s="8" t="inlineStr">
        <is>
          <t>FITNESS</t>
        </is>
      </c>
      <c r="B74" s="8" t="inlineStr">
        <is>
          <t>RT</t>
        </is>
      </c>
      <c r="C74" s="8" t="inlineStr">
        <is>
          <t>Retatrutide</t>
        </is>
      </c>
      <c r="D74" s="9" t="n">
        <v>30</v>
      </c>
      <c r="E74" s="8" t="inlineStr">
        <is>
          <t>mg</t>
        </is>
      </c>
      <c r="F74" s="10" t="n">
        <v>4800</v>
      </c>
      <c r="G74" s="11">
        <f>BANDAS!$E$44*$D74*BANDAS!$E$5*BANDAS!$E$6</f>
        <v/>
      </c>
      <c r="H74" s="11">
        <f>BANDAS!$F$44*$D74*BANDAS!$E$5*BANDAS!$E$6</f>
        <v/>
      </c>
      <c r="I74" s="12">
        <f>ROUND(AVERAGE(G74,H74)/50,0)*50</f>
        <v/>
      </c>
      <c r="J74" s="13">
        <f>IF($D74=0,"",I74/$D74)</f>
        <v/>
      </c>
      <c r="K74" s="14">
        <f>IF(F74="","",IF(F74&lt;G74,"POR DEBAJO",IF(F74&gt;H74,"POR ENCIMA","EN MERCADO")))</f>
        <v/>
      </c>
      <c r="L74" s="16" t="inlineStr">
        <is>
          <t>V</t>
        </is>
      </c>
      <c r="M74" s="11" t="inlineStr"/>
      <c r="N74" s="8" t="inlineStr"/>
    </row>
    <row r="75">
      <c r="A75" s="8" t="inlineStr">
        <is>
          <t>FITNESS</t>
        </is>
      </c>
      <c r="B75" s="8" t="inlineStr">
        <is>
          <t>RT</t>
        </is>
      </c>
      <c r="C75" s="8" t="inlineStr">
        <is>
          <t>Retatrutide</t>
        </is>
      </c>
      <c r="D75" s="9" t="n">
        <v>40</v>
      </c>
      <c r="E75" s="8" t="inlineStr">
        <is>
          <t>mg</t>
        </is>
      </c>
      <c r="F75" s="10" t="n">
        <v>6400</v>
      </c>
      <c r="G75" s="11">
        <f>BANDAS!$E$44*$D75*BANDAS!$E$5*BANDAS!$E$6</f>
        <v/>
      </c>
      <c r="H75" s="11">
        <f>BANDAS!$F$44*$D75*BANDAS!$E$5*BANDAS!$E$6</f>
        <v/>
      </c>
      <c r="I75" s="12">
        <f>ROUND(AVERAGE(G75,H75)/50,0)*50</f>
        <v/>
      </c>
      <c r="J75" s="13">
        <f>IF($D75=0,"",I75/$D75)</f>
        <v/>
      </c>
      <c r="K75" s="14">
        <f>IF(F75="","",IF(F75&lt;G75,"POR DEBAJO",IF(F75&gt;H75,"POR ENCIMA","EN MERCADO")))</f>
        <v/>
      </c>
      <c r="L75" s="16" t="inlineStr">
        <is>
          <t>V</t>
        </is>
      </c>
      <c r="M75" s="11" t="inlineStr"/>
      <c r="N75" s="8" t="inlineStr"/>
    </row>
    <row r="76">
      <c r="A76" s="8" t="inlineStr">
        <is>
          <t>FITNESS</t>
        </is>
      </c>
      <c r="B76" s="8" t="inlineStr">
        <is>
          <t>RT</t>
        </is>
      </c>
      <c r="C76" s="8" t="inlineStr">
        <is>
          <t>Retatrutide</t>
        </is>
      </c>
      <c r="D76" s="9" t="n">
        <v>50</v>
      </c>
      <c r="E76" s="8" t="inlineStr">
        <is>
          <t>mg</t>
        </is>
      </c>
      <c r="F76" s="10" t="n">
        <v>8050</v>
      </c>
      <c r="G76" s="11">
        <f>BANDAS!$E$44*$D76*BANDAS!$E$5*BANDAS!$E$6</f>
        <v/>
      </c>
      <c r="H76" s="11">
        <f>BANDAS!$F$44*$D76*BANDAS!$E$5*BANDAS!$E$6</f>
        <v/>
      </c>
      <c r="I76" s="12">
        <f>ROUND(AVERAGE(G76,H76)/50,0)*50</f>
        <v/>
      </c>
      <c r="J76" s="13">
        <f>IF($D76=0,"",I76/$D76)</f>
        <v/>
      </c>
      <c r="K76" s="14">
        <f>IF(F76="","",IF(F76&lt;G76,"POR DEBAJO",IF(F76&gt;H76,"POR ENCIMA","EN MERCADO")))</f>
        <v/>
      </c>
      <c r="L76" s="16" t="inlineStr">
        <is>
          <t>V</t>
        </is>
      </c>
      <c r="M76" s="11" t="inlineStr"/>
      <c r="N76" s="8" t="inlineStr"/>
    </row>
    <row r="77">
      <c r="A77" s="8" t="inlineStr">
        <is>
          <t>FITNESS</t>
        </is>
      </c>
      <c r="B77" s="8" t="inlineStr">
        <is>
          <t>RT</t>
        </is>
      </c>
      <c r="C77" s="8" t="inlineStr">
        <is>
          <t>Retatrutide</t>
        </is>
      </c>
      <c r="D77" s="9" t="n">
        <v>60</v>
      </c>
      <c r="E77" s="8" t="inlineStr">
        <is>
          <t>mg</t>
        </is>
      </c>
      <c r="F77" s="10" t="n">
        <v>9650</v>
      </c>
      <c r="G77" s="11">
        <f>BANDAS!$E$44*$D77*BANDAS!$E$5*BANDAS!$E$6</f>
        <v/>
      </c>
      <c r="H77" s="11">
        <f>BANDAS!$F$44*$D77*BANDAS!$E$5*BANDAS!$E$6</f>
        <v/>
      </c>
      <c r="I77" s="12">
        <f>ROUND(AVERAGE(G77,H77)/50,0)*50</f>
        <v/>
      </c>
      <c r="J77" s="13">
        <f>IF($D77=0,"",I77/$D77)</f>
        <v/>
      </c>
      <c r="K77" s="14">
        <f>IF(F77="","",IF(F77&lt;G77,"POR DEBAJO",IF(F77&gt;H77,"POR ENCIMA","EN MERCADO")))</f>
        <v/>
      </c>
      <c r="L77" s="16" t="inlineStr">
        <is>
          <t>V</t>
        </is>
      </c>
      <c r="M77" s="11" t="inlineStr"/>
      <c r="N77" s="8" t="inlineStr"/>
    </row>
    <row r="78">
      <c r="A78" s="8" t="inlineStr">
        <is>
          <t>FITNESS</t>
        </is>
      </c>
      <c r="B78" s="8" t="inlineStr">
        <is>
          <t>2S</t>
        </is>
      </c>
      <c r="C78" s="8" t="inlineStr">
        <is>
          <t>SS-31</t>
        </is>
      </c>
      <c r="D78" s="9" t="n">
        <v>10</v>
      </c>
      <c r="E78" s="8" t="inlineStr">
        <is>
          <t>mg</t>
        </is>
      </c>
      <c r="F78" s="10" t="n">
        <v>1000</v>
      </c>
      <c r="G78" s="11">
        <f>BANDAS!$E$45*$D78*BANDAS!$E$5*BANDAS!$E$6</f>
        <v/>
      </c>
      <c r="H78" s="11">
        <f>BANDAS!$F$45*$D78*BANDAS!$E$5*BANDAS!$E$6</f>
        <v/>
      </c>
      <c r="I78" s="12">
        <f>ROUND(AVERAGE(G78,H78)/50,0)*50</f>
        <v/>
      </c>
      <c r="J78" s="13">
        <f>IF($D78=0,"",I78/$D78)</f>
        <v/>
      </c>
      <c r="K78" s="14">
        <f>IF(F78="","",IF(F78&lt;G78,"POR DEBAJO",IF(F78&gt;H78,"POR ENCIMA","EN MERCADO")))</f>
        <v/>
      </c>
      <c r="L78" s="15" t="inlineStr">
        <is>
          <t>D</t>
        </is>
      </c>
      <c r="M78" s="11" t="inlineStr"/>
      <c r="N78" s="8" t="inlineStr"/>
    </row>
    <row r="79">
      <c r="A79" s="8" t="inlineStr">
        <is>
          <t>FITNESS</t>
        </is>
      </c>
      <c r="B79" s="8" t="inlineStr">
        <is>
          <t>2S</t>
        </is>
      </c>
      <c r="C79" s="8" t="inlineStr">
        <is>
          <t>SS-31</t>
        </is>
      </c>
      <c r="D79" s="9" t="n">
        <v>50</v>
      </c>
      <c r="E79" s="8" t="inlineStr">
        <is>
          <t>mg</t>
        </is>
      </c>
      <c r="F79" s="10" t="n">
        <v>5200</v>
      </c>
      <c r="G79" s="11">
        <f>BANDAS!$E$45*$D79*BANDAS!$E$5*BANDAS!$E$6</f>
        <v/>
      </c>
      <c r="H79" s="11">
        <f>BANDAS!$F$45*$D79*BANDAS!$E$5*BANDAS!$E$6</f>
        <v/>
      </c>
      <c r="I79" s="12">
        <f>ROUND(AVERAGE(G79,H79)/50,0)*50</f>
        <v/>
      </c>
      <c r="J79" s="13">
        <f>IF($D79=0,"",I79/$D79)</f>
        <v/>
      </c>
      <c r="K79" s="14">
        <f>IF(F79="","",IF(F79&lt;G79,"POR DEBAJO",IF(F79&gt;H79,"POR ENCIMA","EN MERCADO")))</f>
        <v/>
      </c>
      <c r="L79" s="15" t="inlineStr">
        <is>
          <t>D</t>
        </is>
      </c>
      <c r="M79" s="11" t="inlineStr"/>
      <c r="N79" s="8" t="inlineStr"/>
    </row>
    <row r="80">
      <c r="A80" s="8" t="inlineStr">
        <is>
          <t>FITNESS</t>
        </is>
      </c>
      <c r="B80" s="8" t="inlineStr">
        <is>
          <t>SM</t>
        </is>
      </c>
      <c r="C80" s="8" t="inlineStr">
        <is>
          <t>Semaglutide</t>
        </is>
      </c>
      <c r="D80" s="9" t="n">
        <v>5</v>
      </c>
      <c r="E80" s="8" t="inlineStr">
        <is>
          <t>mg</t>
        </is>
      </c>
      <c r="F80" s="10" t="n">
        <v>500</v>
      </c>
      <c r="G80" s="11">
        <f>BANDAS!$E$46*$D80*BANDAS!$E$5*BANDAS!$E$6</f>
        <v/>
      </c>
      <c r="H80" s="11">
        <f>BANDAS!$F$46*$D80*BANDAS!$E$5*BANDAS!$E$6</f>
        <v/>
      </c>
      <c r="I80" s="12">
        <f>ROUND(AVERAGE(G80,H80)/50,0)*50</f>
        <v/>
      </c>
      <c r="J80" s="13">
        <f>IF($D80=0,"",I80/$D80)</f>
        <v/>
      </c>
      <c r="K80" s="14">
        <f>IF(F80="","",IF(F80&lt;G80,"POR DEBAJO",IF(F80&gt;H80,"POR ENCIMA","EN MERCADO")))</f>
        <v/>
      </c>
      <c r="L80" s="16" t="inlineStr">
        <is>
          <t>V</t>
        </is>
      </c>
      <c r="M80" s="11" t="inlineStr"/>
      <c r="N80" s="8" t="inlineStr"/>
    </row>
    <row r="81">
      <c r="A81" s="8" t="inlineStr">
        <is>
          <t>FITNESS</t>
        </is>
      </c>
      <c r="B81" s="8" t="inlineStr">
        <is>
          <t>SM</t>
        </is>
      </c>
      <c r="C81" s="8" t="inlineStr">
        <is>
          <t>Semaglutide</t>
        </is>
      </c>
      <c r="D81" s="9" t="n">
        <v>10</v>
      </c>
      <c r="E81" s="8" t="inlineStr">
        <is>
          <t>mg</t>
        </is>
      </c>
      <c r="F81" s="10" t="n">
        <v>1900</v>
      </c>
      <c r="G81" s="11">
        <f>BANDAS!$E$46*$D81*BANDAS!$E$5*BANDAS!$E$6</f>
        <v/>
      </c>
      <c r="H81" s="11">
        <f>BANDAS!$F$46*$D81*BANDAS!$E$5*BANDAS!$E$6</f>
        <v/>
      </c>
      <c r="I81" s="12">
        <f>ROUND(AVERAGE(G81,H81)/50,0)*50</f>
        <v/>
      </c>
      <c r="J81" s="13">
        <f>IF($D81=0,"",I81/$D81)</f>
        <v/>
      </c>
      <c r="K81" s="14">
        <f>IF(F81="","",IF(F81&lt;G81,"POR DEBAJO",IF(F81&gt;H81,"POR ENCIMA","EN MERCADO")))</f>
        <v/>
      </c>
      <c r="L81" s="16" t="inlineStr">
        <is>
          <t>V</t>
        </is>
      </c>
      <c r="M81" s="11" t="inlineStr"/>
      <c r="N81" s="8" t="inlineStr"/>
    </row>
    <row r="82">
      <c r="A82" s="8" t="inlineStr">
        <is>
          <t>FITNESS</t>
        </is>
      </c>
      <c r="B82" s="8" t="inlineStr">
        <is>
          <t>SM</t>
        </is>
      </c>
      <c r="C82" s="8" t="inlineStr">
        <is>
          <t>Semaglutide</t>
        </is>
      </c>
      <c r="D82" s="9" t="n">
        <v>15</v>
      </c>
      <c r="E82" s="8" t="inlineStr">
        <is>
          <t>mg</t>
        </is>
      </c>
      <c r="F82" s="10" t="n">
        <v>2150</v>
      </c>
      <c r="G82" s="11">
        <f>BANDAS!$E$46*$D82*BANDAS!$E$5*BANDAS!$E$6</f>
        <v/>
      </c>
      <c r="H82" s="11">
        <f>BANDAS!$F$46*$D82*BANDAS!$E$5*BANDAS!$E$6</f>
        <v/>
      </c>
      <c r="I82" s="12">
        <f>ROUND(AVERAGE(G82,H82)/50,0)*50</f>
        <v/>
      </c>
      <c r="J82" s="13">
        <f>IF($D82=0,"",I82/$D82)</f>
        <v/>
      </c>
      <c r="K82" s="14">
        <f>IF(F82="","",IF(F82&lt;G82,"POR DEBAJO",IF(F82&gt;H82,"POR ENCIMA","EN MERCADO")))</f>
        <v/>
      </c>
      <c r="L82" s="16" t="inlineStr">
        <is>
          <t>V</t>
        </is>
      </c>
      <c r="M82" s="11" t="inlineStr"/>
      <c r="N82" s="8" t="inlineStr"/>
    </row>
    <row r="83">
      <c r="A83" s="8" t="inlineStr">
        <is>
          <t>FITNESS</t>
        </is>
      </c>
      <c r="B83" s="8" t="inlineStr">
        <is>
          <t>SM</t>
        </is>
      </c>
      <c r="C83" s="8" t="inlineStr">
        <is>
          <t>Semaglutide</t>
        </is>
      </c>
      <c r="D83" s="9" t="n">
        <v>20</v>
      </c>
      <c r="E83" s="8" t="inlineStr">
        <is>
          <t>mg</t>
        </is>
      </c>
      <c r="F83" s="10" t="n">
        <v>3050</v>
      </c>
      <c r="G83" s="11">
        <f>BANDAS!$E$46*$D83*BANDAS!$E$5*BANDAS!$E$6</f>
        <v/>
      </c>
      <c r="H83" s="11">
        <f>BANDAS!$F$46*$D83*BANDAS!$E$5*BANDAS!$E$6</f>
        <v/>
      </c>
      <c r="I83" s="12">
        <f>ROUND(AVERAGE(G83,H83)/50,0)*50</f>
        <v/>
      </c>
      <c r="J83" s="13">
        <f>IF($D83=0,"",I83/$D83)</f>
        <v/>
      </c>
      <c r="K83" s="14">
        <f>IF(F83="","",IF(F83&lt;G83,"POR DEBAJO",IF(F83&gt;H83,"POR ENCIMA","EN MERCADO")))</f>
        <v/>
      </c>
      <c r="L83" s="16" t="inlineStr">
        <is>
          <t>V</t>
        </is>
      </c>
      <c r="M83" s="11" t="inlineStr"/>
      <c r="N83" s="8" t="inlineStr"/>
    </row>
    <row r="84">
      <c r="A84" s="8" t="inlineStr">
        <is>
          <t>FITNESS</t>
        </is>
      </c>
      <c r="B84" s="8" t="inlineStr">
        <is>
          <t>SM</t>
        </is>
      </c>
      <c r="C84" s="8" t="inlineStr">
        <is>
          <t>Semaglutide</t>
        </is>
      </c>
      <c r="D84" s="9" t="n">
        <v>30</v>
      </c>
      <c r="E84" s="8" t="inlineStr">
        <is>
          <t>mg</t>
        </is>
      </c>
      <c r="F84" s="10" t="n">
        <v>3400</v>
      </c>
      <c r="G84" s="11">
        <f>BANDAS!$E$46*$D84*BANDAS!$E$5*BANDAS!$E$6</f>
        <v/>
      </c>
      <c r="H84" s="11">
        <f>BANDAS!$F$46*$D84*BANDAS!$E$5*BANDAS!$E$6</f>
        <v/>
      </c>
      <c r="I84" s="12">
        <f>ROUND(AVERAGE(G84,H84)/50,0)*50</f>
        <v/>
      </c>
      <c r="J84" s="13">
        <f>IF($D84=0,"",I84/$D84)</f>
        <v/>
      </c>
      <c r="K84" s="14">
        <f>IF(F84="","",IF(F84&lt;G84,"POR DEBAJO",IF(F84&gt;H84,"POR ENCIMA","EN MERCADO")))</f>
        <v/>
      </c>
      <c r="L84" s="16" t="inlineStr">
        <is>
          <t>V</t>
        </is>
      </c>
      <c r="M84" s="11" t="inlineStr"/>
      <c r="N84" s="8" t="inlineStr"/>
    </row>
    <row r="85">
      <c r="A85" s="8" t="inlineStr">
        <is>
          <t>FITNESS</t>
        </is>
      </c>
      <c r="B85" s="8" t="inlineStr">
        <is>
          <t>SMO</t>
        </is>
      </c>
      <c r="C85" s="8" t="inlineStr">
        <is>
          <t>Sermorelin</t>
        </is>
      </c>
      <c r="D85" s="9" t="n">
        <v>5</v>
      </c>
      <c r="E85" s="8" t="inlineStr">
        <is>
          <t>mg</t>
        </is>
      </c>
      <c r="F85" s="10" t="n">
        <v>750</v>
      </c>
      <c r="G85" s="11">
        <f>BANDAS!$E$47*$D85*BANDAS!$E$5*BANDAS!$E$6</f>
        <v/>
      </c>
      <c r="H85" s="11">
        <f>BANDAS!$F$47*$D85*BANDAS!$E$5*BANDAS!$E$6</f>
        <v/>
      </c>
      <c r="I85" s="12">
        <f>ROUND(AVERAGE(G85,H85)/50,0)*50</f>
        <v/>
      </c>
      <c r="J85" s="13">
        <f>IF($D85=0,"",I85/$D85)</f>
        <v/>
      </c>
      <c r="K85" s="14">
        <f>IF(F85="","",IF(F85&lt;G85,"POR DEBAJO",IF(F85&gt;H85,"POR ENCIMA","EN MERCADO")))</f>
        <v/>
      </c>
      <c r="L85" s="15" t="inlineStr">
        <is>
          <t>D</t>
        </is>
      </c>
      <c r="M85" s="11" t="inlineStr"/>
      <c r="N85" s="8" t="inlineStr"/>
    </row>
    <row r="86">
      <c r="A86" s="8" t="inlineStr">
        <is>
          <t>FITNESS</t>
        </is>
      </c>
      <c r="B86" s="8" t="inlineStr">
        <is>
          <t>SMO</t>
        </is>
      </c>
      <c r="C86" s="8" t="inlineStr">
        <is>
          <t>Sermorelin</t>
        </is>
      </c>
      <c r="D86" s="9" t="n">
        <v>10</v>
      </c>
      <c r="E86" s="8" t="inlineStr">
        <is>
          <t>mg</t>
        </is>
      </c>
      <c r="F86" s="10" t="n">
        <v>1350</v>
      </c>
      <c r="G86" s="11">
        <f>BANDAS!$E$47*$D86*BANDAS!$E$5*BANDAS!$E$6</f>
        <v/>
      </c>
      <c r="H86" s="11">
        <f>BANDAS!$F$47*$D86*BANDAS!$E$5*BANDAS!$E$6</f>
        <v/>
      </c>
      <c r="I86" s="12">
        <f>ROUND(AVERAGE(G86,H86)/50,0)*50</f>
        <v/>
      </c>
      <c r="J86" s="13">
        <f>IF($D86=0,"",I86/$D86)</f>
        <v/>
      </c>
      <c r="K86" s="14">
        <f>IF(F86="","",IF(F86&lt;G86,"POR DEBAJO",IF(F86&gt;H86,"POR ENCIMA","EN MERCADO")))</f>
        <v/>
      </c>
      <c r="L86" s="15" t="inlineStr">
        <is>
          <t>D</t>
        </is>
      </c>
      <c r="M86" s="11" t="inlineStr"/>
      <c r="N86" s="8" t="inlineStr"/>
    </row>
    <row r="87">
      <c r="A87" s="8" t="inlineStr">
        <is>
          <t>FITNESS</t>
        </is>
      </c>
      <c r="B87" s="8" t="inlineStr">
        <is>
          <t>TB</t>
        </is>
      </c>
      <c r="C87" s="8" t="inlineStr">
        <is>
          <t>TB-500</t>
        </is>
      </c>
      <c r="D87" s="9" t="n">
        <v>5</v>
      </c>
      <c r="E87" s="8" t="inlineStr">
        <is>
          <t>mg</t>
        </is>
      </c>
      <c r="F87" s="10" t="n">
        <v>600</v>
      </c>
      <c r="G87" s="11">
        <f>BANDAS!$E$48*$D87*BANDAS!$E$5*BANDAS!$E$6</f>
        <v/>
      </c>
      <c r="H87" s="11">
        <f>BANDAS!$F$48*$D87*BANDAS!$E$5*BANDAS!$E$6</f>
        <v/>
      </c>
      <c r="I87" s="12">
        <f>ROUND(AVERAGE(G87,H87)/50,0)*50</f>
        <v/>
      </c>
      <c r="J87" s="13">
        <f>IF($D87=0,"",I87/$D87)</f>
        <v/>
      </c>
      <c r="K87" s="14">
        <f>IF(F87="","",IF(F87&lt;G87,"POR DEBAJO",IF(F87&gt;H87,"POR ENCIMA","EN MERCADO")))</f>
        <v/>
      </c>
      <c r="L87" s="16" t="inlineStr">
        <is>
          <t>V</t>
        </is>
      </c>
      <c r="M87" s="11" t="n">
        <v>1449</v>
      </c>
      <c r="N87" s="8" t="inlineStr">
        <is>
          <t>ZELARA</t>
        </is>
      </c>
    </row>
    <row r="88">
      <c r="A88" s="8" t="inlineStr">
        <is>
          <t>FITNESS</t>
        </is>
      </c>
      <c r="B88" s="8" t="inlineStr">
        <is>
          <t>TB</t>
        </is>
      </c>
      <c r="C88" s="8" t="inlineStr">
        <is>
          <t>TB-500</t>
        </is>
      </c>
      <c r="D88" s="9" t="n">
        <v>10</v>
      </c>
      <c r="E88" s="8" t="inlineStr">
        <is>
          <t>mg</t>
        </is>
      </c>
      <c r="F88" s="10" t="n">
        <v>900</v>
      </c>
      <c r="G88" s="11">
        <f>BANDAS!$E$48*$D88*BANDAS!$E$5*BANDAS!$E$6</f>
        <v/>
      </c>
      <c r="H88" s="11">
        <f>BANDAS!$F$48*$D88*BANDAS!$E$5*BANDAS!$E$6</f>
        <v/>
      </c>
      <c r="I88" s="12">
        <f>ROUND(AVERAGE(G88,H88)/50,0)*50</f>
        <v/>
      </c>
      <c r="J88" s="13">
        <f>IF($D88=0,"",I88/$D88)</f>
        <v/>
      </c>
      <c r="K88" s="14">
        <f>IF(F88="","",IF(F88&lt;G88,"POR DEBAJO",IF(F88&gt;H88,"POR ENCIMA","EN MERCADO")))</f>
        <v/>
      </c>
      <c r="L88" s="16" t="inlineStr">
        <is>
          <t>V</t>
        </is>
      </c>
      <c r="M88" s="11" t="inlineStr"/>
      <c r="N88" s="8" t="inlineStr"/>
    </row>
    <row r="89">
      <c r="A89" s="8" t="inlineStr">
        <is>
          <t>FITNESS</t>
        </is>
      </c>
      <c r="B89" s="8" t="inlineStr">
        <is>
          <t>TSM</t>
        </is>
      </c>
      <c r="C89" s="8" t="inlineStr">
        <is>
          <t>Tesamorelin</t>
        </is>
      </c>
      <c r="D89" s="9" t="n">
        <v>5</v>
      </c>
      <c r="E89" s="8" t="inlineStr">
        <is>
          <t>mg</t>
        </is>
      </c>
      <c r="F89" s="10" t="n">
        <v>650</v>
      </c>
      <c r="G89" s="11">
        <f>BANDAS!$E$49*$D89*BANDAS!$E$5*BANDAS!$E$6</f>
        <v/>
      </c>
      <c r="H89" s="11">
        <f>BANDAS!$F$49*$D89*BANDAS!$E$5*BANDAS!$E$6</f>
        <v/>
      </c>
      <c r="I89" s="12">
        <f>ROUND(AVERAGE(G89,H89)/50,0)*50</f>
        <v/>
      </c>
      <c r="J89" s="13">
        <f>IF($D89=0,"",I89/$D89)</f>
        <v/>
      </c>
      <c r="K89" s="14">
        <f>IF(F89="","",IF(F89&lt;G89,"POR DEBAJO",IF(F89&gt;H89,"POR ENCIMA","EN MERCADO")))</f>
        <v/>
      </c>
      <c r="L89" s="15" t="inlineStr">
        <is>
          <t>D</t>
        </is>
      </c>
      <c r="M89" s="11" t="inlineStr"/>
      <c r="N89" s="8" t="inlineStr"/>
    </row>
    <row r="90">
      <c r="A90" s="8" t="inlineStr">
        <is>
          <t>FITNESS</t>
        </is>
      </c>
      <c r="B90" s="8" t="inlineStr">
        <is>
          <t>TSM</t>
        </is>
      </c>
      <c r="C90" s="8" t="inlineStr">
        <is>
          <t>Tesamorelin</t>
        </is>
      </c>
      <c r="D90" s="9" t="n">
        <v>10</v>
      </c>
      <c r="E90" s="8" t="inlineStr">
        <is>
          <t>mg</t>
        </is>
      </c>
      <c r="F90" s="10" t="n">
        <v>1250</v>
      </c>
      <c r="G90" s="11">
        <f>BANDAS!$E$49*$D90*BANDAS!$E$5*BANDAS!$E$6</f>
        <v/>
      </c>
      <c r="H90" s="11">
        <f>BANDAS!$F$49*$D90*BANDAS!$E$5*BANDAS!$E$6</f>
        <v/>
      </c>
      <c r="I90" s="12">
        <f>ROUND(AVERAGE(G90,H90)/50,0)*50</f>
        <v/>
      </c>
      <c r="J90" s="13">
        <f>IF($D90=0,"",I90/$D90)</f>
        <v/>
      </c>
      <c r="K90" s="14">
        <f>IF(F90="","",IF(F90&lt;G90,"POR DEBAJO",IF(F90&gt;H90,"POR ENCIMA","EN MERCADO")))</f>
        <v/>
      </c>
      <c r="L90" s="15" t="inlineStr">
        <is>
          <t>D</t>
        </is>
      </c>
      <c r="M90" s="11" t="inlineStr"/>
      <c r="N90" s="8" t="inlineStr"/>
    </row>
    <row r="91">
      <c r="A91" s="8" t="inlineStr">
        <is>
          <t>FITNESS</t>
        </is>
      </c>
      <c r="B91" s="8" t="inlineStr">
        <is>
          <t>TSM</t>
        </is>
      </c>
      <c r="C91" s="8" t="inlineStr">
        <is>
          <t>Tesamorelin</t>
        </is>
      </c>
      <c r="D91" s="9" t="n">
        <v>20</v>
      </c>
      <c r="E91" s="8" t="inlineStr">
        <is>
          <t>mg</t>
        </is>
      </c>
      <c r="F91" s="10" t="n">
        <v>2450</v>
      </c>
      <c r="G91" s="11">
        <f>BANDAS!$E$49*$D91*BANDAS!$E$5*BANDAS!$E$6</f>
        <v/>
      </c>
      <c r="H91" s="11">
        <f>BANDAS!$F$49*$D91*BANDAS!$E$5*BANDAS!$E$6</f>
        <v/>
      </c>
      <c r="I91" s="12">
        <f>ROUND(AVERAGE(G91,H91)/50,0)*50</f>
        <v/>
      </c>
      <c r="J91" s="13">
        <f>IF($D91=0,"",I91/$D91)</f>
        <v/>
      </c>
      <c r="K91" s="14">
        <f>IF(F91="","",IF(F91&lt;G91,"POR DEBAJO",IF(F91&gt;H91,"POR ENCIMA","EN MERCADO")))</f>
        <v/>
      </c>
      <c r="L91" s="15" t="inlineStr">
        <is>
          <t>D</t>
        </is>
      </c>
      <c r="M91" s="11" t="inlineStr"/>
      <c r="N91" s="8" t="inlineStr"/>
    </row>
    <row r="92">
      <c r="A92" s="8" t="inlineStr">
        <is>
          <t>FITNESS</t>
        </is>
      </c>
      <c r="B92" s="8" t="inlineStr">
        <is>
          <t>TR</t>
        </is>
      </c>
      <c r="C92" s="8" t="inlineStr">
        <is>
          <t>Tirzepatide</t>
        </is>
      </c>
      <c r="D92" s="9" t="n">
        <v>5</v>
      </c>
      <c r="E92" s="8" t="inlineStr">
        <is>
          <t>mg</t>
        </is>
      </c>
      <c r="F92" s="10" t="n">
        <v>1150</v>
      </c>
      <c r="G92" s="11">
        <f>BANDAS!$E$50*$D92*BANDAS!$E$5*BANDAS!$E$6</f>
        <v/>
      </c>
      <c r="H92" s="11">
        <f>BANDAS!$F$50*$D92*BANDAS!$E$5*BANDAS!$E$6</f>
        <v/>
      </c>
      <c r="I92" s="12">
        <f>ROUND(AVERAGE(G92,H92)/50,0)*50</f>
        <v/>
      </c>
      <c r="J92" s="13">
        <f>IF($D92=0,"",I92/$D92)</f>
        <v/>
      </c>
      <c r="K92" s="14">
        <f>IF(F92="","",IF(F92&lt;G92,"POR DEBAJO",IF(F92&gt;H92,"POR ENCIMA","EN MERCADO")))</f>
        <v/>
      </c>
      <c r="L92" s="16" t="inlineStr">
        <is>
          <t>V</t>
        </is>
      </c>
      <c r="M92" s="11" t="n">
        <v>750</v>
      </c>
      <c r="N92" s="8" t="inlineStr">
        <is>
          <t>referencia MX «desde»</t>
        </is>
      </c>
    </row>
    <row r="93">
      <c r="A93" s="8" t="inlineStr">
        <is>
          <t>FITNESS</t>
        </is>
      </c>
      <c r="B93" s="8" t="inlineStr">
        <is>
          <t>TR</t>
        </is>
      </c>
      <c r="C93" s="8" t="inlineStr">
        <is>
          <t>Tirzepatide</t>
        </is>
      </c>
      <c r="D93" s="9" t="n">
        <v>10</v>
      </c>
      <c r="E93" s="8" t="inlineStr">
        <is>
          <t>mg</t>
        </is>
      </c>
      <c r="F93" s="10" t="n">
        <v>1400</v>
      </c>
      <c r="G93" s="11">
        <f>BANDAS!$E$50*$D93*BANDAS!$E$5*BANDAS!$E$6</f>
        <v/>
      </c>
      <c r="H93" s="11">
        <f>BANDAS!$F$50*$D93*BANDAS!$E$5*BANDAS!$E$6</f>
        <v/>
      </c>
      <c r="I93" s="12">
        <f>ROUND(AVERAGE(G93,H93)/50,0)*50</f>
        <v/>
      </c>
      <c r="J93" s="13">
        <f>IF($D93=0,"",I93/$D93)</f>
        <v/>
      </c>
      <c r="K93" s="14">
        <f>IF(F93="","",IF(F93&lt;G93,"POR DEBAJO",IF(F93&gt;H93,"POR ENCIMA","EN MERCADO")))</f>
        <v/>
      </c>
      <c r="L93" s="16" t="inlineStr">
        <is>
          <t>V</t>
        </is>
      </c>
      <c r="M93" s="11" t="inlineStr"/>
      <c r="N93" s="8" t="inlineStr"/>
    </row>
    <row r="94">
      <c r="A94" s="8" t="inlineStr">
        <is>
          <t>FITNESS</t>
        </is>
      </c>
      <c r="B94" s="8" t="inlineStr">
        <is>
          <t>TR</t>
        </is>
      </c>
      <c r="C94" s="8" t="inlineStr">
        <is>
          <t>Tirzepatide</t>
        </is>
      </c>
      <c r="D94" s="9" t="n">
        <v>15</v>
      </c>
      <c r="E94" s="8" t="inlineStr">
        <is>
          <t>mg</t>
        </is>
      </c>
      <c r="F94" s="10" t="n">
        <v>1500</v>
      </c>
      <c r="G94" s="11">
        <f>BANDAS!$E$50*$D94*BANDAS!$E$5*BANDAS!$E$6</f>
        <v/>
      </c>
      <c r="H94" s="11">
        <f>BANDAS!$F$50*$D94*BANDAS!$E$5*BANDAS!$E$6</f>
        <v/>
      </c>
      <c r="I94" s="12">
        <f>ROUND(AVERAGE(G94,H94)/50,0)*50</f>
        <v/>
      </c>
      <c r="J94" s="13">
        <f>IF($D94=0,"",I94/$D94)</f>
        <v/>
      </c>
      <c r="K94" s="14">
        <f>IF(F94="","",IF(F94&lt;G94,"POR DEBAJO",IF(F94&gt;H94,"POR ENCIMA","EN MERCADO")))</f>
        <v/>
      </c>
      <c r="L94" s="16" t="inlineStr">
        <is>
          <t>V</t>
        </is>
      </c>
      <c r="M94" s="11" t="inlineStr"/>
      <c r="N94" s="8" t="inlineStr"/>
    </row>
    <row r="95">
      <c r="A95" s="8" t="inlineStr">
        <is>
          <t>FITNESS</t>
        </is>
      </c>
      <c r="B95" s="8" t="inlineStr">
        <is>
          <t>TR</t>
        </is>
      </c>
      <c r="C95" s="8" t="inlineStr">
        <is>
          <t>Tirzepatide</t>
        </is>
      </c>
      <c r="D95" s="9" t="n">
        <v>20</v>
      </c>
      <c r="E95" s="8" t="inlineStr">
        <is>
          <t>mg</t>
        </is>
      </c>
      <c r="F95" s="10" t="n">
        <v>2000</v>
      </c>
      <c r="G95" s="11">
        <f>BANDAS!$E$50*$D95*BANDAS!$E$5*BANDAS!$E$6</f>
        <v/>
      </c>
      <c r="H95" s="11">
        <f>BANDAS!$F$50*$D95*BANDAS!$E$5*BANDAS!$E$6</f>
        <v/>
      </c>
      <c r="I95" s="12">
        <f>ROUND(AVERAGE(G95,H95)/50,0)*50</f>
        <v/>
      </c>
      <c r="J95" s="13">
        <f>IF($D95=0,"",I95/$D95)</f>
        <v/>
      </c>
      <c r="K95" s="14">
        <f>IF(F95="","",IF(F95&lt;G95,"POR DEBAJO",IF(F95&gt;H95,"POR ENCIMA","EN MERCADO")))</f>
        <v/>
      </c>
      <c r="L95" s="16" t="inlineStr">
        <is>
          <t>V</t>
        </is>
      </c>
      <c r="M95" s="11" t="inlineStr"/>
      <c r="N95" s="8" t="inlineStr"/>
    </row>
    <row r="96">
      <c r="A96" s="8" t="inlineStr">
        <is>
          <t>FITNESS</t>
        </is>
      </c>
      <c r="B96" s="8" t="inlineStr">
        <is>
          <t>TR</t>
        </is>
      </c>
      <c r="C96" s="8" t="inlineStr">
        <is>
          <t>Tirzepatide</t>
        </is>
      </c>
      <c r="D96" s="9" t="n">
        <v>30</v>
      </c>
      <c r="E96" s="8" t="inlineStr">
        <is>
          <t>mg</t>
        </is>
      </c>
      <c r="F96" s="10" t="n">
        <v>3100</v>
      </c>
      <c r="G96" s="11">
        <f>BANDAS!$E$50*$D96*BANDAS!$E$5*BANDAS!$E$6</f>
        <v/>
      </c>
      <c r="H96" s="11">
        <f>BANDAS!$F$50*$D96*BANDAS!$E$5*BANDAS!$E$6</f>
        <v/>
      </c>
      <c r="I96" s="12">
        <f>ROUND(AVERAGE(G96,H96)/50,0)*50</f>
        <v/>
      </c>
      <c r="J96" s="13">
        <f>IF($D96=0,"",I96/$D96)</f>
        <v/>
      </c>
      <c r="K96" s="14">
        <f>IF(F96="","",IF(F96&lt;G96,"POR DEBAJO",IF(F96&gt;H96,"POR ENCIMA","EN MERCADO")))</f>
        <v/>
      </c>
      <c r="L96" s="16" t="inlineStr">
        <is>
          <t>V</t>
        </is>
      </c>
      <c r="M96" s="11" t="inlineStr"/>
      <c r="N96" s="8" t="inlineStr"/>
    </row>
    <row r="97">
      <c r="A97" s="8" t="inlineStr">
        <is>
          <t>FITNESS</t>
        </is>
      </c>
      <c r="B97" s="8" t="inlineStr">
        <is>
          <t>TR</t>
        </is>
      </c>
      <c r="C97" s="8" t="inlineStr">
        <is>
          <t>Tirzepatide</t>
        </is>
      </c>
      <c r="D97" s="9" t="n">
        <v>40</v>
      </c>
      <c r="E97" s="8" t="inlineStr">
        <is>
          <t>mg</t>
        </is>
      </c>
      <c r="F97" s="10" t="n">
        <v>4100</v>
      </c>
      <c r="G97" s="11">
        <f>BANDAS!$E$50*$D97*BANDAS!$E$5*BANDAS!$E$6</f>
        <v/>
      </c>
      <c r="H97" s="11">
        <f>BANDAS!$F$50*$D97*BANDAS!$E$5*BANDAS!$E$6</f>
        <v/>
      </c>
      <c r="I97" s="12">
        <f>ROUND(AVERAGE(G97,H97)/50,0)*50</f>
        <v/>
      </c>
      <c r="J97" s="13">
        <f>IF($D97=0,"",I97/$D97)</f>
        <v/>
      </c>
      <c r="K97" s="14">
        <f>IF(F97="","",IF(F97&lt;G97,"POR DEBAJO",IF(F97&gt;H97,"POR ENCIMA","EN MERCADO")))</f>
        <v/>
      </c>
      <c r="L97" s="16" t="inlineStr">
        <is>
          <t>V</t>
        </is>
      </c>
      <c r="M97" s="11" t="inlineStr"/>
      <c r="N97" s="8" t="inlineStr"/>
    </row>
    <row r="98">
      <c r="A98" s="8" t="inlineStr">
        <is>
          <t>FITNESS</t>
        </is>
      </c>
      <c r="B98" s="8" t="inlineStr">
        <is>
          <t>TR</t>
        </is>
      </c>
      <c r="C98" s="8" t="inlineStr">
        <is>
          <t>Tirzepatide</t>
        </is>
      </c>
      <c r="D98" s="9" t="n">
        <v>50</v>
      </c>
      <c r="E98" s="8" t="inlineStr">
        <is>
          <t>mg</t>
        </is>
      </c>
      <c r="F98" s="10" t="n">
        <v>5050</v>
      </c>
      <c r="G98" s="11">
        <f>BANDAS!$E$50*$D98*BANDAS!$E$5*BANDAS!$E$6</f>
        <v/>
      </c>
      <c r="H98" s="11">
        <f>BANDAS!$F$50*$D98*BANDAS!$E$5*BANDAS!$E$6</f>
        <v/>
      </c>
      <c r="I98" s="12">
        <f>ROUND(AVERAGE(G98,H98)/50,0)*50</f>
        <v/>
      </c>
      <c r="J98" s="13">
        <f>IF($D98=0,"",I98/$D98)</f>
        <v/>
      </c>
      <c r="K98" s="14">
        <f>IF(F98="","",IF(F98&lt;G98,"POR DEBAJO",IF(F98&gt;H98,"POR ENCIMA","EN MERCADO")))</f>
        <v/>
      </c>
      <c r="L98" s="16" t="inlineStr">
        <is>
          <t>V</t>
        </is>
      </c>
      <c r="M98" s="11" t="inlineStr"/>
      <c r="N98" s="8" t="inlineStr"/>
    </row>
    <row r="99">
      <c r="A99" s="8" t="inlineStr">
        <is>
          <t>FITNESS</t>
        </is>
      </c>
      <c r="B99" s="8" t="inlineStr">
        <is>
          <t>TR</t>
        </is>
      </c>
      <c r="C99" s="8" t="inlineStr">
        <is>
          <t>Tirzepatide</t>
        </is>
      </c>
      <c r="D99" s="9" t="n">
        <v>60</v>
      </c>
      <c r="E99" s="8" t="inlineStr">
        <is>
          <t>mg</t>
        </is>
      </c>
      <c r="F99" s="10" t="n">
        <v>6050</v>
      </c>
      <c r="G99" s="11">
        <f>BANDAS!$E$50*$D99*BANDAS!$E$5*BANDAS!$E$6</f>
        <v/>
      </c>
      <c r="H99" s="11">
        <f>BANDAS!$F$50*$D99*BANDAS!$E$5*BANDAS!$E$6</f>
        <v/>
      </c>
      <c r="I99" s="12">
        <f>ROUND(AVERAGE(G99,H99)/50,0)*50</f>
        <v/>
      </c>
      <c r="J99" s="13">
        <f>IF($D99=0,"",I99/$D99)</f>
        <v/>
      </c>
      <c r="K99" s="14">
        <f>IF(F99="","",IF(F99&lt;G99,"POR DEBAJO",IF(F99&gt;H99,"POR ENCIMA","EN MERCADO")))</f>
        <v/>
      </c>
      <c r="L99" s="16" t="inlineStr">
        <is>
          <t>V</t>
        </is>
      </c>
      <c r="M99" s="11" t="inlineStr"/>
      <c r="N99" s="8" t="inlineStr"/>
    </row>
    <row r="100">
      <c r="A100" s="8" t="inlineStr">
        <is>
          <t>LONGEVITY</t>
        </is>
      </c>
      <c r="B100" s="8" t="inlineStr">
        <is>
          <t>CTL</t>
        </is>
      </c>
      <c r="C100" s="8" t="inlineStr">
        <is>
          <t>Cartalax</t>
        </is>
      </c>
      <c r="D100" s="9" t="n">
        <v>20</v>
      </c>
      <c r="E100" s="8" t="inlineStr">
        <is>
          <t>mg</t>
        </is>
      </c>
      <c r="F100" s="10" t="n">
        <v>2700</v>
      </c>
      <c r="G100" s="11">
        <f>BANDAS!$E$51*$D100*BANDAS!$E$5*BANDAS!$E$6</f>
        <v/>
      </c>
      <c r="H100" s="11">
        <f>BANDAS!$F$51*$D100*BANDAS!$E$5*BANDAS!$E$6</f>
        <v/>
      </c>
      <c r="I100" s="12">
        <f>ROUND(AVERAGE(G100,H100)/50,0)*50</f>
        <v/>
      </c>
      <c r="J100" s="13">
        <f>IF($D100=0,"",I100/$D100)</f>
        <v/>
      </c>
      <c r="K100" s="14">
        <f>IF(F100="","",IF(F100&lt;G100,"POR DEBAJO",IF(F100&gt;H100,"POR ENCIMA","EN MERCADO")))</f>
        <v/>
      </c>
      <c r="L100" s="15" t="inlineStr">
        <is>
          <t>D</t>
        </is>
      </c>
      <c r="M100" s="11" t="inlineStr"/>
      <c r="N100" s="8" t="inlineStr"/>
    </row>
    <row r="101">
      <c r="A101" s="8" t="inlineStr">
        <is>
          <t>LONGEVITY</t>
        </is>
      </c>
      <c r="B101" s="8" t="inlineStr">
        <is>
          <t>DS</t>
        </is>
      </c>
      <c r="C101" s="8" t="inlineStr">
        <is>
          <t>DSIP</t>
        </is>
      </c>
      <c r="D101" s="9" t="n">
        <v>5</v>
      </c>
      <c r="E101" s="8" t="inlineStr">
        <is>
          <t>mg</t>
        </is>
      </c>
      <c r="F101" s="10" t="n">
        <v>350</v>
      </c>
      <c r="G101" s="11">
        <f>BANDAS!$E$52*$D101*BANDAS!$E$5*BANDAS!$E$6</f>
        <v/>
      </c>
      <c r="H101" s="11">
        <f>BANDAS!$F$52*$D101*BANDAS!$E$5*BANDAS!$E$6</f>
        <v/>
      </c>
      <c r="I101" s="12">
        <f>ROUND(AVERAGE(G101,H101)/50,0)*50</f>
        <v/>
      </c>
      <c r="J101" s="13">
        <f>IF($D101=0,"",I101/$D101)</f>
        <v/>
      </c>
      <c r="K101" s="14">
        <f>IF(F101="","",IF(F101&lt;G101,"POR DEBAJO",IF(F101&gt;H101,"POR ENCIMA","EN MERCADO")))</f>
        <v/>
      </c>
      <c r="L101" s="15" t="inlineStr">
        <is>
          <t>D</t>
        </is>
      </c>
      <c r="M101" s="11" t="inlineStr"/>
      <c r="N101" s="8" t="inlineStr"/>
    </row>
    <row r="102">
      <c r="A102" s="8" t="inlineStr">
        <is>
          <t>LONGEVITY</t>
        </is>
      </c>
      <c r="B102" s="8" t="inlineStr">
        <is>
          <t>DS</t>
        </is>
      </c>
      <c r="C102" s="8" t="inlineStr">
        <is>
          <t>DSIP</t>
        </is>
      </c>
      <c r="D102" s="9" t="n">
        <v>10</v>
      </c>
      <c r="E102" s="8" t="inlineStr">
        <is>
          <t>mg</t>
        </is>
      </c>
      <c r="F102" s="10" t="n">
        <v>850</v>
      </c>
      <c r="G102" s="11">
        <f>BANDAS!$E$52*$D102*BANDAS!$E$5*BANDAS!$E$6</f>
        <v/>
      </c>
      <c r="H102" s="11">
        <f>BANDAS!$F$52*$D102*BANDAS!$E$5*BANDAS!$E$6</f>
        <v/>
      </c>
      <c r="I102" s="12">
        <f>ROUND(AVERAGE(G102,H102)/50,0)*50</f>
        <v/>
      </c>
      <c r="J102" s="13">
        <f>IF($D102=0,"",I102/$D102)</f>
        <v/>
      </c>
      <c r="K102" s="14">
        <f>IF(F102="","",IF(F102&lt;G102,"POR DEBAJO",IF(F102&gt;H102,"POR ENCIMA","EN MERCADO")))</f>
        <v/>
      </c>
      <c r="L102" s="15" t="inlineStr">
        <is>
          <t>D</t>
        </is>
      </c>
      <c r="M102" s="11" t="inlineStr"/>
      <c r="N102" s="8" t="inlineStr"/>
    </row>
    <row r="103">
      <c r="A103" s="8" t="inlineStr">
        <is>
          <t>LONGEVITY</t>
        </is>
      </c>
      <c r="B103" s="8" t="inlineStr">
        <is>
          <t>DS</t>
        </is>
      </c>
      <c r="C103" s="8" t="inlineStr">
        <is>
          <t>DSIP</t>
        </is>
      </c>
      <c r="D103" s="9" t="n">
        <v>12</v>
      </c>
      <c r="E103" s="8" t="inlineStr">
        <is>
          <t>mg</t>
        </is>
      </c>
      <c r="F103" s="10" t="n">
        <v>1000</v>
      </c>
      <c r="G103" s="11">
        <f>BANDAS!$E$52*$D103*BANDAS!$E$5*BANDAS!$E$6</f>
        <v/>
      </c>
      <c r="H103" s="11">
        <f>BANDAS!$F$52*$D103*BANDAS!$E$5*BANDAS!$E$6</f>
        <v/>
      </c>
      <c r="I103" s="12">
        <f>ROUND(AVERAGE(G103,H103)/50,0)*50</f>
        <v/>
      </c>
      <c r="J103" s="13">
        <f>IF($D103=0,"",I103/$D103)</f>
        <v/>
      </c>
      <c r="K103" s="14">
        <f>IF(F103="","",IF(F103&lt;G103,"POR DEBAJO",IF(F103&gt;H103,"POR ENCIMA","EN MERCADO")))</f>
        <v/>
      </c>
      <c r="L103" s="15" t="inlineStr">
        <is>
          <t>D</t>
        </is>
      </c>
      <c r="M103" s="11" t="inlineStr"/>
      <c r="N103" s="8" t="inlineStr"/>
    </row>
    <row r="104">
      <c r="A104" s="8" t="inlineStr">
        <is>
          <t>LONGEVITY</t>
        </is>
      </c>
      <c r="B104" s="8" t="inlineStr">
        <is>
          <t>DX</t>
        </is>
      </c>
      <c r="C104" s="8" t="inlineStr">
        <is>
          <t>Dihexa</t>
        </is>
      </c>
      <c r="D104" s="9" t="n">
        <v>5</v>
      </c>
      <c r="E104" s="8" t="inlineStr">
        <is>
          <t>mg</t>
        </is>
      </c>
      <c r="F104" s="10" t="n">
        <v>1000</v>
      </c>
      <c r="G104" s="11">
        <f>BANDAS!$E$53*$D104*BANDAS!$E$5*BANDAS!$E$6</f>
        <v/>
      </c>
      <c r="H104" s="11">
        <f>BANDAS!$F$53*$D104*BANDAS!$E$5*BANDAS!$E$6</f>
        <v/>
      </c>
      <c r="I104" s="12">
        <f>ROUND(AVERAGE(G104,H104)/50,0)*50</f>
        <v/>
      </c>
      <c r="J104" s="13">
        <f>IF($D104=0,"",I104/$D104)</f>
        <v/>
      </c>
      <c r="K104" s="14">
        <f>IF(F104="","",IF(F104&lt;G104,"POR DEBAJO",IF(F104&gt;H104,"POR ENCIMA","EN MERCADO")))</f>
        <v/>
      </c>
      <c r="L104" s="15" t="inlineStr">
        <is>
          <t>D</t>
        </is>
      </c>
      <c r="M104" s="11" t="inlineStr"/>
      <c r="N104" s="8" t="inlineStr"/>
    </row>
    <row r="105">
      <c r="A105" s="8" t="inlineStr">
        <is>
          <t>LONGEVITY</t>
        </is>
      </c>
      <c r="B105" s="8" t="inlineStr">
        <is>
          <t>DX</t>
        </is>
      </c>
      <c r="C105" s="8" t="inlineStr">
        <is>
          <t>Dihexa</t>
        </is>
      </c>
      <c r="D105" s="9" t="n">
        <v>10</v>
      </c>
      <c r="E105" s="8" t="inlineStr">
        <is>
          <t>mg</t>
        </is>
      </c>
      <c r="F105" s="10" t="n">
        <v>2100</v>
      </c>
      <c r="G105" s="11">
        <f>BANDAS!$E$53*$D105*BANDAS!$E$5*BANDAS!$E$6</f>
        <v/>
      </c>
      <c r="H105" s="11">
        <f>BANDAS!$F$53*$D105*BANDAS!$E$5*BANDAS!$E$6</f>
        <v/>
      </c>
      <c r="I105" s="12">
        <f>ROUND(AVERAGE(G105,H105)/50,0)*50</f>
        <v/>
      </c>
      <c r="J105" s="13">
        <f>IF($D105=0,"",I105/$D105)</f>
        <v/>
      </c>
      <c r="K105" s="14">
        <f>IF(F105="","",IF(F105&lt;G105,"POR DEBAJO",IF(F105&gt;H105,"POR ENCIMA","EN MERCADO")))</f>
        <v/>
      </c>
      <c r="L105" s="15" t="inlineStr">
        <is>
          <t>D</t>
        </is>
      </c>
      <c r="M105" s="11" t="inlineStr"/>
      <c r="N105" s="8" t="inlineStr"/>
    </row>
    <row r="106">
      <c r="A106" s="8" t="inlineStr">
        <is>
          <t>LONGEVITY</t>
        </is>
      </c>
      <c r="B106" s="8" t="inlineStr">
        <is>
          <t>ET</t>
        </is>
      </c>
      <c r="C106" s="8" t="inlineStr">
        <is>
          <t>Epithalon</t>
        </is>
      </c>
      <c r="D106" s="9" t="n">
        <v>10</v>
      </c>
      <c r="E106" s="8" t="inlineStr">
        <is>
          <t>mg</t>
        </is>
      </c>
      <c r="F106" s="10" t="n">
        <v>350</v>
      </c>
      <c r="G106" s="11">
        <f>BANDAS!$E$54*$D106*BANDAS!$E$5*BANDAS!$E$6</f>
        <v/>
      </c>
      <c r="H106" s="11">
        <f>BANDAS!$F$54*$D106*BANDAS!$E$5*BANDAS!$E$6</f>
        <v/>
      </c>
      <c r="I106" s="12">
        <f>ROUND(AVERAGE(G106,H106)/50,0)*50</f>
        <v/>
      </c>
      <c r="J106" s="13">
        <f>IF($D106=0,"",I106/$D106)</f>
        <v/>
      </c>
      <c r="K106" s="14">
        <f>IF(F106="","",IF(F106&lt;G106,"POR DEBAJO",IF(F106&gt;H106,"POR ENCIMA","EN MERCADO")))</f>
        <v/>
      </c>
      <c r="L106" s="16" t="inlineStr">
        <is>
          <t>V</t>
        </is>
      </c>
      <c r="M106" s="11" t="n">
        <v>700</v>
      </c>
      <c r="N106" s="8" t="inlineStr">
        <is>
          <t>EXOMA Peptides</t>
        </is>
      </c>
    </row>
    <row r="107">
      <c r="A107" s="8" t="inlineStr">
        <is>
          <t>LONGEVITY</t>
        </is>
      </c>
      <c r="B107" s="8" t="inlineStr">
        <is>
          <t>ET</t>
        </is>
      </c>
      <c r="C107" s="8" t="inlineStr">
        <is>
          <t>Epithalon</t>
        </is>
      </c>
      <c r="D107" s="9" t="n">
        <v>50</v>
      </c>
      <c r="E107" s="8" t="inlineStr">
        <is>
          <t>mg</t>
        </is>
      </c>
      <c r="F107" s="10" t="n">
        <v>1850</v>
      </c>
      <c r="G107" s="11">
        <f>BANDAS!$E$54*$D107*BANDAS!$E$5*BANDAS!$E$6</f>
        <v/>
      </c>
      <c r="H107" s="11">
        <f>BANDAS!$F$54*$D107*BANDAS!$E$5*BANDAS!$E$6</f>
        <v/>
      </c>
      <c r="I107" s="12">
        <f>ROUND(AVERAGE(G107,H107)/50,0)*50</f>
        <v/>
      </c>
      <c r="J107" s="13">
        <f>IF($D107=0,"",I107/$D107)</f>
        <v/>
      </c>
      <c r="K107" s="14">
        <f>IF(F107="","",IF(F107&lt;G107,"POR DEBAJO",IF(F107&gt;H107,"POR ENCIMA","EN MERCADO")))</f>
        <v/>
      </c>
      <c r="L107" s="16" t="inlineStr">
        <is>
          <t>V</t>
        </is>
      </c>
      <c r="M107" s="11" t="inlineStr"/>
      <c r="N107" s="8" t="inlineStr"/>
    </row>
    <row r="108">
      <c r="A108" s="8" t="inlineStr">
        <is>
          <t>LONGEVITY</t>
        </is>
      </c>
      <c r="B108" s="8" t="inlineStr">
        <is>
          <t>F4</t>
        </is>
      </c>
      <c r="C108" s="8" t="inlineStr">
        <is>
          <t>FOXO4-DRI</t>
        </is>
      </c>
      <c r="D108" s="9" t="n">
        <v>2</v>
      </c>
      <c r="E108" s="8" t="inlineStr">
        <is>
          <t>mg</t>
        </is>
      </c>
      <c r="F108" s="10" t="n">
        <v>2700</v>
      </c>
      <c r="G108" s="11">
        <f>BANDAS!$E$55*$D108*BANDAS!$E$5*BANDAS!$E$6</f>
        <v/>
      </c>
      <c r="H108" s="11">
        <f>BANDAS!$F$55*$D108*BANDAS!$E$5*BANDAS!$E$6</f>
        <v/>
      </c>
      <c r="I108" s="12">
        <f>ROUND(AVERAGE(G108,H108)/50,0)*50</f>
        <v/>
      </c>
      <c r="J108" s="13">
        <f>IF($D108=0,"",I108/$D108)</f>
        <v/>
      </c>
      <c r="K108" s="14">
        <f>IF(F108="","",IF(F108&lt;G108,"POR DEBAJO",IF(F108&gt;H108,"POR ENCIMA","EN MERCADO")))</f>
        <v/>
      </c>
      <c r="L108" s="15" t="inlineStr">
        <is>
          <t>D</t>
        </is>
      </c>
      <c r="M108" s="11" t="inlineStr"/>
      <c r="N108" s="8" t="inlineStr"/>
    </row>
    <row r="109">
      <c r="A109" s="8" t="inlineStr">
        <is>
          <t>LONGEVITY</t>
        </is>
      </c>
      <c r="B109" s="8" t="inlineStr">
        <is>
          <t>KS</t>
        </is>
      </c>
      <c r="C109" s="8" t="inlineStr">
        <is>
          <t>KissPeptin-10</t>
        </is>
      </c>
      <c r="D109" s="9" t="n">
        <v>5</v>
      </c>
      <c r="E109" s="8" t="inlineStr">
        <is>
          <t>mg</t>
        </is>
      </c>
      <c r="F109" s="10" t="n">
        <v>750</v>
      </c>
      <c r="G109" s="11">
        <f>BANDAS!$E$56*$D109*BANDAS!$E$5*BANDAS!$E$6</f>
        <v/>
      </c>
      <c r="H109" s="11">
        <f>BANDAS!$F$56*$D109*BANDAS!$E$5*BANDAS!$E$6</f>
        <v/>
      </c>
      <c r="I109" s="12">
        <f>ROUND(AVERAGE(G109,H109)/50,0)*50</f>
        <v/>
      </c>
      <c r="J109" s="13">
        <f>IF($D109=0,"",I109/$D109)</f>
        <v/>
      </c>
      <c r="K109" s="14">
        <f>IF(F109="","",IF(F109&lt;G109,"POR DEBAJO",IF(F109&gt;H109,"POR ENCIMA","EN MERCADO")))</f>
        <v/>
      </c>
      <c r="L109" s="15" t="inlineStr">
        <is>
          <t>D</t>
        </is>
      </c>
      <c r="M109" s="11" t="inlineStr"/>
      <c r="N109" s="8" t="inlineStr"/>
    </row>
    <row r="110">
      <c r="A110" s="8" t="inlineStr">
        <is>
          <t>LONGEVITY</t>
        </is>
      </c>
      <c r="B110" s="8" t="inlineStr">
        <is>
          <t>KS</t>
        </is>
      </c>
      <c r="C110" s="8" t="inlineStr">
        <is>
          <t>KissPeptin-10</t>
        </is>
      </c>
      <c r="D110" s="9" t="n">
        <v>10</v>
      </c>
      <c r="E110" s="8" t="inlineStr">
        <is>
          <t>mg</t>
        </is>
      </c>
      <c r="F110" s="10" t="n">
        <v>1350</v>
      </c>
      <c r="G110" s="11">
        <f>BANDAS!$E$56*$D110*BANDAS!$E$5*BANDAS!$E$6</f>
        <v/>
      </c>
      <c r="H110" s="11">
        <f>BANDAS!$F$56*$D110*BANDAS!$E$5*BANDAS!$E$6</f>
        <v/>
      </c>
      <c r="I110" s="12">
        <f>ROUND(AVERAGE(G110,H110)/50,0)*50</f>
        <v/>
      </c>
      <c r="J110" s="13">
        <f>IF($D110=0,"",I110/$D110)</f>
        <v/>
      </c>
      <c r="K110" s="14">
        <f>IF(F110="","",IF(F110&lt;G110,"POR DEBAJO",IF(F110&gt;H110,"POR ENCIMA","EN MERCADO")))</f>
        <v/>
      </c>
      <c r="L110" s="15" t="inlineStr">
        <is>
          <t>D</t>
        </is>
      </c>
      <c r="M110" s="11" t="inlineStr"/>
      <c r="N110" s="8" t="inlineStr"/>
    </row>
    <row r="111">
      <c r="A111" s="8" t="inlineStr">
        <is>
          <t>LONGEVITY</t>
        </is>
      </c>
      <c r="B111" s="8" t="inlineStr">
        <is>
          <t>ML</t>
        </is>
      </c>
      <c r="C111" s="8" t="inlineStr">
        <is>
          <t>Melatonin</t>
        </is>
      </c>
      <c r="D111" s="9" t="n">
        <v>10</v>
      </c>
      <c r="E111" s="8" t="inlineStr">
        <is>
          <t>mg</t>
        </is>
      </c>
      <c r="F111" s="10" t="n">
        <v>500</v>
      </c>
      <c r="G111" s="11">
        <f>BANDAS!$E$57*$D111*BANDAS!$E$5*BANDAS!$E$6</f>
        <v/>
      </c>
      <c r="H111" s="11">
        <f>BANDAS!$F$57*$D111*BANDAS!$E$5*BANDAS!$E$6</f>
        <v/>
      </c>
      <c r="I111" s="12">
        <f>ROUND(AVERAGE(G111,H111)/50,0)*50</f>
        <v/>
      </c>
      <c r="J111" s="13">
        <f>IF($D111=0,"",I111/$D111)</f>
        <v/>
      </c>
      <c r="K111" s="14">
        <f>IF(F111="","",IF(F111&lt;G111,"POR DEBAJO",IF(F111&gt;H111,"POR ENCIMA","EN MERCADO")))</f>
        <v/>
      </c>
      <c r="L111" s="15" t="inlineStr">
        <is>
          <t>D</t>
        </is>
      </c>
      <c r="M111" s="11" t="inlineStr"/>
      <c r="N111" s="8" t="inlineStr"/>
    </row>
    <row r="112">
      <c r="A112" s="8" t="inlineStr">
        <is>
          <t>LONGEVITY</t>
        </is>
      </c>
      <c r="B112" s="8" t="inlineStr">
        <is>
          <t>NJ</t>
        </is>
      </c>
      <c r="C112" s="8" t="inlineStr">
        <is>
          <t>NAD+</t>
        </is>
      </c>
      <c r="D112" s="9" t="n">
        <v>100</v>
      </c>
      <c r="E112" s="8" t="inlineStr">
        <is>
          <t>mg</t>
        </is>
      </c>
      <c r="F112" s="10" t="n">
        <v>350</v>
      </c>
      <c r="G112" s="11">
        <f>BANDAS!$E$58*$D112*BANDAS!$E$5*BANDAS!$E$6</f>
        <v/>
      </c>
      <c r="H112" s="11">
        <f>BANDAS!$F$58*$D112*BANDAS!$E$5*BANDAS!$E$6</f>
        <v/>
      </c>
      <c r="I112" s="12">
        <f>ROUND(AVERAGE(G112,H112)/50,0)*50</f>
        <v/>
      </c>
      <c r="J112" s="13">
        <f>IF($D112=0,"",I112/$D112)</f>
        <v/>
      </c>
      <c r="K112" s="14">
        <f>IF(F112="","",IF(F112&lt;G112,"POR DEBAJO",IF(F112&gt;H112,"POR ENCIMA","EN MERCADO")))</f>
        <v/>
      </c>
      <c r="L112" s="16" t="inlineStr">
        <is>
          <t>V</t>
        </is>
      </c>
      <c r="M112" s="11" t="inlineStr"/>
      <c r="N112" s="8" t="inlineStr"/>
    </row>
    <row r="113">
      <c r="A113" s="8" t="inlineStr">
        <is>
          <t>LONGEVITY</t>
        </is>
      </c>
      <c r="B113" s="8" t="inlineStr">
        <is>
          <t>NJ</t>
        </is>
      </c>
      <c r="C113" s="8" t="inlineStr">
        <is>
          <t>NAD+</t>
        </is>
      </c>
      <c r="D113" s="9" t="n">
        <v>500</v>
      </c>
      <c r="E113" s="8" t="inlineStr">
        <is>
          <t>mg</t>
        </is>
      </c>
      <c r="F113" s="10" t="n">
        <v>1850</v>
      </c>
      <c r="G113" s="11">
        <f>BANDAS!$E$58*$D113*BANDAS!$E$5*BANDAS!$E$6</f>
        <v/>
      </c>
      <c r="H113" s="11">
        <f>BANDAS!$F$58*$D113*BANDAS!$E$5*BANDAS!$E$6</f>
        <v/>
      </c>
      <c r="I113" s="12">
        <f>ROUND(AVERAGE(G113,H113)/50,0)*50</f>
        <v/>
      </c>
      <c r="J113" s="13">
        <f>IF($D113=0,"",I113/$D113)</f>
        <v/>
      </c>
      <c r="K113" s="14">
        <f>IF(F113="","",IF(F113&lt;G113,"POR DEBAJO",IF(F113&gt;H113,"POR ENCIMA","EN MERCADO")))</f>
        <v/>
      </c>
      <c r="L113" s="16" t="inlineStr">
        <is>
          <t>V</t>
        </is>
      </c>
      <c r="M113" s="11" t="inlineStr"/>
      <c r="N113" s="8" t="inlineStr"/>
    </row>
    <row r="114">
      <c r="A114" s="8" t="inlineStr">
        <is>
          <t>LONGEVITY</t>
        </is>
      </c>
      <c r="B114" s="8" t="inlineStr">
        <is>
          <t>NJ</t>
        </is>
      </c>
      <c r="C114" s="8" t="inlineStr">
        <is>
          <t>NAD+</t>
        </is>
      </c>
      <c r="D114" s="9" t="n">
        <v>1000</v>
      </c>
      <c r="E114" s="8" t="inlineStr">
        <is>
          <t>mg</t>
        </is>
      </c>
      <c r="F114" s="10" t="n">
        <v>3700</v>
      </c>
      <c r="G114" s="11">
        <f>BANDAS!$E$58*$D114*BANDAS!$E$5*BANDAS!$E$6</f>
        <v/>
      </c>
      <c r="H114" s="11">
        <f>BANDAS!$F$58*$D114*BANDAS!$E$5*BANDAS!$E$6</f>
        <v/>
      </c>
      <c r="I114" s="12">
        <f>ROUND(AVERAGE(G114,H114)/50,0)*50</f>
        <v/>
      </c>
      <c r="J114" s="13">
        <f>IF($D114=0,"",I114/$D114)</f>
        <v/>
      </c>
      <c r="K114" s="14">
        <f>IF(F114="","",IF(F114&lt;G114,"POR DEBAJO",IF(F114&gt;H114,"POR ENCIMA","EN MERCADO")))</f>
        <v/>
      </c>
      <c r="L114" s="16" t="inlineStr">
        <is>
          <t>V</t>
        </is>
      </c>
      <c r="M114" s="11" t="inlineStr"/>
      <c r="N114" s="8" t="inlineStr"/>
    </row>
    <row r="115">
      <c r="A115" s="8" t="inlineStr">
        <is>
          <t>LONGEVITY</t>
        </is>
      </c>
      <c r="B115" s="8" t="inlineStr">
        <is>
          <t>PI</t>
        </is>
      </c>
      <c r="C115" s="8" t="inlineStr">
        <is>
          <t>Pinealon</t>
        </is>
      </c>
      <c r="D115" s="9" t="n">
        <v>10</v>
      </c>
      <c r="E115" s="8" t="inlineStr">
        <is>
          <t>mg</t>
        </is>
      </c>
      <c r="F115" s="10" t="n">
        <v>2100</v>
      </c>
      <c r="G115" s="11">
        <f>BANDAS!$E$59*$D115*BANDAS!$E$5*BANDAS!$E$6</f>
        <v/>
      </c>
      <c r="H115" s="11">
        <f>BANDAS!$F$59*$D115*BANDAS!$E$5*BANDAS!$E$6</f>
        <v/>
      </c>
      <c r="I115" s="12">
        <f>ROUND(AVERAGE(G115,H115)/50,0)*50</f>
        <v/>
      </c>
      <c r="J115" s="13">
        <f>IF($D115=0,"",I115/$D115)</f>
        <v/>
      </c>
      <c r="K115" s="14">
        <f>IF(F115="","",IF(F115&lt;G115,"POR DEBAJO",IF(F115&gt;H115,"POR ENCIMA","EN MERCADO")))</f>
        <v/>
      </c>
      <c r="L115" s="15" t="inlineStr">
        <is>
          <t>D</t>
        </is>
      </c>
      <c r="M115" s="11" t="inlineStr"/>
      <c r="N115" s="8" t="inlineStr"/>
    </row>
    <row r="116">
      <c r="A116" s="8" t="inlineStr">
        <is>
          <t>LONGEVITY</t>
        </is>
      </c>
      <c r="B116" s="8" t="inlineStr">
        <is>
          <t>SK</t>
        </is>
      </c>
      <c r="C116" s="8" t="inlineStr">
        <is>
          <t>Selank</t>
        </is>
      </c>
      <c r="D116" s="9" t="n">
        <v>5</v>
      </c>
      <c r="E116" s="8" t="inlineStr">
        <is>
          <t>mg</t>
        </is>
      </c>
      <c r="F116" s="10" t="n">
        <v>500</v>
      </c>
      <c r="G116" s="11">
        <f>BANDAS!$E$60*$D116*BANDAS!$E$5*BANDAS!$E$6</f>
        <v/>
      </c>
      <c r="H116" s="11">
        <f>BANDAS!$F$60*$D116*BANDAS!$E$5*BANDAS!$E$6</f>
        <v/>
      </c>
      <c r="I116" s="12">
        <f>ROUND(AVERAGE(G116,H116)/50,0)*50</f>
        <v/>
      </c>
      <c r="J116" s="13">
        <f>IF($D116=0,"",I116/$D116)</f>
        <v/>
      </c>
      <c r="K116" s="14">
        <f>IF(F116="","",IF(F116&lt;G116,"POR DEBAJO",IF(F116&gt;H116,"POR ENCIMA","EN MERCADO")))</f>
        <v/>
      </c>
      <c r="L116" s="15" t="inlineStr">
        <is>
          <t>D</t>
        </is>
      </c>
      <c r="M116" s="11" t="inlineStr"/>
      <c r="N116" s="8" t="inlineStr"/>
    </row>
    <row r="117">
      <c r="A117" s="8" t="inlineStr">
        <is>
          <t>LONGEVITY</t>
        </is>
      </c>
      <c r="B117" s="8" t="inlineStr">
        <is>
          <t>SK</t>
        </is>
      </c>
      <c r="C117" s="8" t="inlineStr">
        <is>
          <t>Selank</t>
        </is>
      </c>
      <c r="D117" s="9" t="n">
        <v>10</v>
      </c>
      <c r="E117" s="8" t="inlineStr">
        <is>
          <t>mg</t>
        </is>
      </c>
      <c r="F117" s="10" t="n">
        <v>850</v>
      </c>
      <c r="G117" s="11">
        <f>BANDAS!$E$60*$D117*BANDAS!$E$5*BANDAS!$E$6</f>
        <v/>
      </c>
      <c r="H117" s="11">
        <f>BANDAS!$F$60*$D117*BANDAS!$E$5*BANDAS!$E$6</f>
        <v/>
      </c>
      <c r="I117" s="12">
        <f>ROUND(AVERAGE(G117,H117)/50,0)*50</f>
        <v/>
      </c>
      <c r="J117" s="13">
        <f>IF($D117=0,"",I117/$D117)</f>
        <v/>
      </c>
      <c r="K117" s="14">
        <f>IF(F117="","",IF(F117&lt;G117,"POR DEBAJO",IF(F117&gt;H117,"POR ENCIMA","EN MERCADO")))</f>
        <v/>
      </c>
      <c r="L117" s="15" t="inlineStr">
        <is>
          <t>D</t>
        </is>
      </c>
      <c r="M117" s="11" t="inlineStr"/>
      <c r="N117" s="8" t="inlineStr"/>
    </row>
    <row r="118">
      <c r="A118" s="8" t="inlineStr">
        <is>
          <t>LONGEVITY</t>
        </is>
      </c>
      <c r="B118" s="8" t="inlineStr">
        <is>
          <t>SX</t>
        </is>
      </c>
      <c r="C118" s="8" t="inlineStr">
        <is>
          <t>Semax</t>
        </is>
      </c>
      <c r="D118" s="9" t="n">
        <v>5</v>
      </c>
      <c r="E118" s="8" t="inlineStr">
        <is>
          <t>mg</t>
        </is>
      </c>
      <c r="F118" s="10" t="n">
        <v>500</v>
      </c>
      <c r="G118" s="11">
        <f>BANDAS!$E$61*$D118*BANDAS!$E$5*BANDAS!$E$6</f>
        <v/>
      </c>
      <c r="H118" s="11">
        <f>BANDAS!$F$61*$D118*BANDAS!$E$5*BANDAS!$E$6</f>
        <v/>
      </c>
      <c r="I118" s="12">
        <f>ROUND(AVERAGE(G118,H118)/50,0)*50</f>
        <v/>
      </c>
      <c r="J118" s="13">
        <f>IF($D118=0,"",I118/$D118)</f>
        <v/>
      </c>
      <c r="K118" s="14">
        <f>IF(F118="","",IF(F118&lt;G118,"POR DEBAJO",IF(F118&gt;H118,"POR ENCIMA","EN MERCADO")))</f>
        <v/>
      </c>
      <c r="L118" s="15" t="inlineStr">
        <is>
          <t>D</t>
        </is>
      </c>
      <c r="M118" s="11" t="inlineStr"/>
      <c r="N118" s="8" t="inlineStr"/>
    </row>
    <row r="119">
      <c r="A119" s="8" t="inlineStr">
        <is>
          <t>LONGEVITY</t>
        </is>
      </c>
      <c r="B119" s="8" t="inlineStr">
        <is>
          <t>SX</t>
        </is>
      </c>
      <c r="C119" s="8" t="inlineStr">
        <is>
          <t>Semax</t>
        </is>
      </c>
      <c r="D119" s="9" t="n">
        <v>10</v>
      </c>
      <c r="E119" s="8" t="inlineStr">
        <is>
          <t>mg</t>
        </is>
      </c>
      <c r="F119" s="10" t="n">
        <v>1000</v>
      </c>
      <c r="G119" s="11">
        <f>BANDAS!$E$61*$D119*BANDAS!$E$5*BANDAS!$E$6</f>
        <v/>
      </c>
      <c r="H119" s="11">
        <f>BANDAS!$F$61*$D119*BANDAS!$E$5*BANDAS!$E$6</f>
        <v/>
      </c>
      <c r="I119" s="12">
        <f>ROUND(AVERAGE(G119,H119)/50,0)*50</f>
        <v/>
      </c>
      <c r="J119" s="13">
        <f>IF($D119=0,"",I119/$D119)</f>
        <v/>
      </c>
      <c r="K119" s="14">
        <f>IF(F119="","",IF(F119&lt;G119,"POR DEBAJO",IF(F119&gt;H119,"POR ENCIMA","EN MERCADO")))</f>
        <v/>
      </c>
      <c r="L119" s="15" t="inlineStr">
        <is>
          <t>D</t>
        </is>
      </c>
      <c r="M119" s="11" t="inlineStr"/>
      <c r="N119" s="8" t="inlineStr"/>
    </row>
    <row r="120">
      <c r="A120" s="8" t="inlineStr">
        <is>
          <t>LONGEVITY</t>
        </is>
      </c>
      <c r="B120" s="8" t="inlineStr">
        <is>
          <t>TY</t>
        </is>
      </c>
      <c r="C120" s="8" t="inlineStr">
        <is>
          <t>Thymalin</t>
        </is>
      </c>
      <c r="D120" s="9" t="n">
        <v>10</v>
      </c>
      <c r="E120" s="8" t="inlineStr">
        <is>
          <t>mg</t>
        </is>
      </c>
      <c r="F120" s="10" t="n">
        <v>1350</v>
      </c>
      <c r="G120" s="11">
        <f>BANDAS!$E$62*$D120*BANDAS!$E$5*BANDAS!$E$6</f>
        <v/>
      </c>
      <c r="H120" s="11">
        <f>BANDAS!$F$62*$D120*BANDAS!$E$5*BANDAS!$E$6</f>
        <v/>
      </c>
      <c r="I120" s="12">
        <f>ROUND(AVERAGE(G120,H120)/50,0)*50</f>
        <v/>
      </c>
      <c r="J120" s="13">
        <f>IF($D120=0,"",I120/$D120)</f>
        <v/>
      </c>
      <c r="K120" s="14">
        <f>IF(F120="","",IF(F120&lt;G120,"POR DEBAJO",IF(F120&gt;H120,"POR ENCIMA","EN MERCADO")))</f>
        <v/>
      </c>
      <c r="L120" s="15" t="inlineStr">
        <is>
          <t>D</t>
        </is>
      </c>
      <c r="M120" s="11" t="inlineStr"/>
      <c r="N120" s="8" t="inlineStr"/>
    </row>
    <row r="121">
      <c r="A121" s="8" t="inlineStr">
        <is>
          <t>LONGEVITY</t>
        </is>
      </c>
      <c r="B121" s="8" t="inlineStr">
        <is>
          <t>Ta1</t>
        </is>
      </c>
      <c r="C121" s="8" t="inlineStr">
        <is>
          <t>Thymosin Alpha-1</t>
        </is>
      </c>
      <c r="D121" s="9" t="n">
        <v>5</v>
      </c>
      <c r="E121" s="8" t="inlineStr">
        <is>
          <t>mg</t>
        </is>
      </c>
      <c r="F121" s="10" t="n">
        <v>1000</v>
      </c>
      <c r="G121" s="11">
        <f>BANDAS!$E$63*$D121*BANDAS!$E$5*BANDAS!$E$6</f>
        <v/>
      </c>
      <c r="H121" s="11">
        <f>BANDAS!$F$63*$D121*BANDAS!$E$5*BANDAS!$E$6</f>
        <v/>
      </c>
      <c r="I121" s="12">
        <f>ROUND(AVERAGE(G121,H121)/50,0)*50</f>
        <v/>
      </c>
      <c r="J121" s="13">
        <f>IF($D121=0,"",I121/$D121)</f>
        <v/>
      </c>
      <c r="K121" s="14">
        <f>IF(F121="","",IF(F121&lt;G121,"POR DEBAJO",IF(F121&gt;H121,"POR ENCIMA","EN MERCADO")))</f>
        <v/>
      </c>
      <c r="L121" s="15" t="inlineStr">
        <is>
          <t>D</t>
        </is>
      </c>
      <c r="M121" s="11" t="inlineStr"/>
      <c r="N121" s="8" t="inlineStr"/>
    </row>
    <row r="122">
      <c r="A122" s="8" t="inlineStr">
        <is>
          <t>LONGEVITY</t>
        </is>
      </c>
      <c r="B122" s="8" t="inlineStr">
        <is>
          <t>Ta1</t>
        </is>
      </c>
      <c r="C122" s="8" t="inlineStr">
        <is>
          <t>Thymosin Alpha-1</t>
        </is>
      </c>
      <c r="D122" s="9" t="n">
        <v>10</v>
      </c>
      <c r="E122" s="8" t="inlineStr">
        <is>
          <t>mg</t>
        </is>
      </c>
      <c r="F122" s="10" t="n">
        <v>2100</v>
      </c>
      <c r="G122" s="11">
        <f>BANDAS!$E$63*$D122*BANDAS!$E$5*BANDAS!$E$6</f>
        <v/>
      </c>
      <c r="H122" s="11">
        <f>BANDAS!$F$63*$D122*BANDAS!$E$5*BANDAS!$E$6</f>
        <v/>
      </c>
      <c r="I122" s="12">
        <f>ROUND(AVERAGE(G122,H122)/50,0)*50</f>
        <v/>
      </c>
      <c r="J122" s="13">
        <f>IF($D122=0,"",I122/$D122)</f>
        <v/>
      </c>
      <c r="K122" s="14">
        <f>IF(F122="","",IF(F122&lt;G122,"POR DEBAJO",IF(F122&gt;H122,"POR ENCIMA","EN MERCADO")))</f>
        <v/>
      </c>
      <c r="L122" s="15" t="inlineStr">
        <is>
          <t>D</t>
        </is>
      </c>
      <c r="M122" s="11" t="inlineStr"/>
      <c r="N122" s="8" t="inlineStr"/>
    </row>
    <row r="123">
      <c r="A123" s="8" t="inlineStr">
        <is>
          <t>LONGEVITY</t>
        </is>
      </c>
      <c r="B123" s="8" t="inlineStr">
        <is>
          <t>B12</t>
        </is>
      </c>
      <c r="C123" s="8" t="inlineStr">
        <is>
          <t>Vitamin B12</t>
        </is>
      </c>
      <c r="D123" s="9" t="n">
        <v>1</v>
      </c>
      <c r="E123" s="8" t="inlineStr">
        <is>
          <t>mg</t>
        </is>
      </c>
      <c r="F123" s="10" t="n">
        <v>750</v>
      </c>
      <c r="G123" s="11">
        <f>BANDAS!$E$64*$D123*BANDAS!$E$5*BANDAS!$E$6</f>
        <v/>
      </c>
      <c r="H123" s="11">
        <f>BANDAS!$F$64*$D123*BANDAS!$E$5*BANDAS!$E$6</f>
        <v/>
      </c>
      <c r="I123" s="12">
        <f>ROUND(AVERAGE(G123,H123)/50,0)*50</f>
        <v/>
      </c>
      <c r="J123" s="13">
        <f>IF($D123=0,"",I123/$D123)</f>
        <v/>
      </c>
      <c r="K123" s="14">
        <f>IF(F123="","",IF(F123&lt;G123,"POR DEBAJO",IF(F123&gt;H123,"POR ENCIMA","EN MERCADO")))</f>
        <v/>
      </c>
      <c r="L123" s="15" t="inlineStr">
        <is>
          <t>D</t>
        </is>
      </c>
      <c r="M123" s="11" t="inlineStr"/>
      <c r="N123" s="8" t="inlineStr"/>
    </row>
    <row r="125">
      <c r="C125" s="17" t="inlineStr">
        <is>
          <t>Presentaciones</t>
        </is>
      </c>
      <c r="D125" s="17">
        <f>COUNTA($B$6:$B$123)</f>
        <v/>
      </c>
    </row>
    <row r="126">
      <c r="C126" s="18" t="inlineStr">
        <is>
          <t>Por debajo del mercado</t>
        </is>
      </c>
      <c r="D126" s="17">
        <f>COUNTIF($K$6:$K$123,"POR DEBAJO")</f>
        <v/>
      </c>
    </row>
    <row r="127">
      <c r="C127" s="18" t="inlineStr">
        <is>
          <t>En mercado</t>
        </is>
      </c>
      <c r="D127" s="17">
        <f>COUNTIF($K$6:$K$123,"EN MERCADO")</f>
        <v/>
      </c>
    </row>
    <row r="128">
      <c r="C128" s="18" t="inlineStr">
        <is>
          <t>Por encima</t>
        </is>
      </c>
      <c r="D128" s="17">
        <f>COUNTIF($K$6:$K$123,"POR ENCIMA")</f>
        <v/>
      </c>
    </row>
    <row r="129">
      <c r="C129" s="18" t="inlineStr">
        <is>
          <t>Valor del catálogo a tu precio de hoy</t>
        </is>
      </c>
      <c r="D129" s="19">
        <f>SUM($F$6:$F$123)</f>
        <v/>
      </c>
    </row>
    <row r="130">
      <c r="C130" s="18" t="inlineStr">
        <is>
          <t>Valor del catálogo al precio sugerido</t>
        </is>
      </c>
      <c r="D130" s="19">
        <f>SUM($I$6:$I$123)</f>
        <v/>
      </c>
    </row>
    <row r="131">
      <c r="C131" s="17" t="inlineStr">
        <is>
          <t>Diferencia</t>
        </is>
      </c>
      <c r="D131" s="19">
        <f>D130-D129</f>
        <v/>
      </c>
    </row>
  </sheetData>
  <autoFilter ref="A5:N1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5" customWidth="1" min="3" max="3"/>
    <col width="8" customWidth="1" min="4" max="4"/>
    <col width="8" customWidth="1" min="5" max="5"/>
    <col width="14" customWidth="1" min="6" max="6"/>
    <col width="14" customWidth="1" min="7" max="7"/>
    <col width="14" customWidth="1" min="8" max="8"/>
    <col width="16" customWidth="1" min="9" max="9"/>
    <col width="15" customWidth="1" min="10" max="10"/>
    <col width="16" customWidth="1" min="11" max="11"/>
    <col width="7" customWidth="1" min="12" max="12"/>
  </cols>
  <sheetData>
    <row r="2">
      <c r="B2" s="5" t="inlineStr">
        <is>
          <t>PEPTIDEX · PRECIOS DE VENTA — USA</t>
        </is>
      </c>
    </row>
    <row r="3">
      <c r="B3" s="6" t="inlineStr">
        <is>
          <t>Precio de mercado y precio sugerido para las 118 presentaciones.  La columna amarilla es la respuesta.  02.08.2026</t>
        </is>
      </c>
    </row>
    <row r="5" ht="30" customHeight="1">
      <c r="A5" s="7" t="inlineStr">
        <is>
          <t>LÍNEA</t>
        </is>
      </c>
      <c r="B5" s="7" t="inlineStr">
        <is>
          <t>CÓDIGO</t>
        </is>
      </c>
      <c r="C5" s="7" t="inlineStr">
        <is>
          <t>COMPUESTO</t>
        </is>
      </c>
      <c r="D5" s="7" t="inlineStr">
        <is>
          <t>CANT.</t>
        </is>
      </c>
      <c r="E5" s="7" t="inlineStr">
        <is>
          <t>UNIDAD</t>
        </is>
      </c>
      <c r="F5" s="7" t="inlineStr">
        <is>
          <t>TU PRECIO HOY</t>
        </is>
      </c>
      <c r="G5" s="7" t="inlineStr">
        <is>
          <t>MERCADO BAJO</t>
        </is>
      </c>
      <c r="H5" s="7" t="inlineStr">
        <is>
          <t>MERCADO ALTO</t>
        </is>
      </c>
      <c r="I5" s="7" t="inlineStr">
        <is>
          <t>PRECIO SUGERIDO</t>
        </is>
      </c>
      <c r="J5" s="7" t="inlineStr">
        <is>
          <t>PRECIO POR UNIDAD</t>
        </is>
      </c>
      <c r="K5" s="7" t="inlineStr">
        <is>
          <t>¿DÓNDE QUEDAS?</t>
        </is>
      </c>
      <c r="L5" s="7" t="inlineStr">
        <is>
          <t>CONF.</t>
        </is>
      </c>
    </row>
    <row r="6">
      <c r="A6" s="8" t="inlineStr">
        <is>
          <t>BEAUTY</t>
        </is>
      </c>
      <c r="B6" s="8" t="inlineStr">
        <is>
          <t>AC</t>
        </is>
      </c>
      <c r="C6" s="8" t="inlineStr">
        <is>
          <t>AHK-Cu</t>
        </is>
      </c>
      <c r="D6" s="9" t="n">
        <v>20</v>
      </c>
      <c r="E6" s="8" t="inlineStr">
        <is>
          <t>mg</t>
        </is>
      </c>
      <c r="F6" s="20" t="n">
        <v>20</v>
      </c>
      <c r="G6" s="13">
        <f>BANDAS!$E$9*$D6</f>
        <v/>
      </c>
      <c r="H6" s="13">
        <f>BANDAS!$F$9*$D6</f>
        <v/>
      </c>
      <c r="I6" s="21">
        <f>ROUND(AVERAGE(G6,H6)/1,0)*1</f>
        <v/>
      </c>
      <c r="J6" s="13">
        <f>IF($D6=0,"",I6/$D6)</f>
        <v/>
      </c>
      <c r="K6" s="14">
        <f>IF(F6="","",IF(F6&lt;G6,"POR DEBAJO",IF(F6&gt;H6,"POR ENCIMA","EN MERCADO")))</f>
        <v/>
      </c>
      <c r="L6" s="15" t="inlineStr">
        <is>
          <t>D</t>
        </is>
      </c>
    </row>
    <row r="7">
      <c r="A7" s="8" t="inlineStr">
        <is>
          <t>BEAUTY</t>
        </is>
      </c>
      <c r="B7" s="8" t="inlineStr">
        <is>
          <t>AC</t>
        </is>
      </c>
      <c r="C7" s="8" t="inlineStr">
        <is>
          <t>AHK-Cu</t>
        </is>
      </c>
      <c r="D7" s="9" t="n">
        <v>50</v>
      </c>
      <c r="E7" s="8" t="inlineStr">
        <is>
          <t>mg</t>
        </is>
      </c>
      <c r="F7" s="20" t="n">
        <v>55</v>
      </c>
      <c r="G7" s="13">
        <f>BANDAS!$E$9*$D7</f>
        <v/>
      </c>
      <c r="H7" s="13">
        <f>BANDAS!$F$9*$D7</f>
        <v/>
      </c>
      <c r="I7" s="21">
        <f>ROUND(AVERAGE(G7,H7)/1,0)*1</f>
        <v/>
      </c>
      <c r="J7" s="13">
        <f>IF($D7=0,"",I7/$D7)</f>
        <v/>
      </c>
      <c r="K7" s="14">
        <f>IF(F7="","",IF(F7&lt;G7,"POR DEBAJO",IF(F7&gt;H7,"POR ENCIMA","EN MERCADO")))</f>
        <v/>
      </c>
      <c r="L7" s="15" t="inlineStr">
        <is>
          <t>D</t>
        </is>
      </c>
    </row>
    <row r="8">
      <c r="A8" s="8" t="inlineStr">
        <is>
          <t>BEAUTY</t>
        </is>
      </c>
      <c r="B8" s="8" t="inlineStr">
        <is>
          <t>CU</t>
        </is>
      </c>
      <c r="C8" s="8" t="inlineStr">
        <is>
          <t>GHK-Cu</t>
        </is>
      </c>
      <c r="D8" s="9" t="n">
        <v>50</v>
      </c>
      <c r="E8" s="8" t="inlineStr">
        <is>
          <t>mg</t>
        </is>
      </c>
      <c r="F8" s="20" t="n">
        <v>35</v>
      </c>
      <c r="G8" s="13">
        <f>BANDAS!$E$10*$D8</f>
        <v/>
      </c>
      <c r="H8" s="13">
        <f>BANDAS!$F$10*$D8</f>
        <v/>
      </c>
      <c r="I8" s="21">
        <f>ROUND(AVERAGE(G8,H8)/1,0)*1</f>
        <v/>
      </c>
      <c r="J8" s="13">
        <f>IF($D8=0,"",I8/$D8)</f>
        <v/>
      </c>
      <c r="K8" s="14">
        <f>IF(F8="","",IF(F8&lt;G8,"POR DEBAJO",IF(F8&gt;H8,"POR ENCIMA","EN MERCADO")))</f>
        <v/>
      </c>
      <c r="L8" s="16" t="inlineStr">
        <is>
          <t>V</t>
        </is>
      </c>
    </row>
    <row r="9">
      <c r="A9" s="8" t="inlineStr">
        <is>
          <t>BEAUTY</t>
        </is>
      </c>
      <c r="B9" s="8" t="inlineStr">
        <is>
          <t>CU</t>
        </is>
      </c>
      <c r="C9" s="8" t="inlineStr">
        <is>
          <t>GHK-Cu</t>
        </is>
      </c>
      <c r="D9" s="9" t="n">
        <v>100</v>
      </c>
      <c r="E9" s="8" t="inlineStr">
        <is>
          <t>mg</t>
        </is>
      </c>
      <c r="F9" s="20" t="n">
        <v>75</v>
      </c>
      <c r="G9" s="13">
        <f>BANDAS!$E$10*$D9</f>
        <v/>
      </c>
      <c r="H9" s="13">
        <f>BANDAS!$F$10*$D9</f>
        <v/>
      </c>
      <c r="I9" s="21">
        <f>ROUND(AVERAGE(G9,H9)/1,0)*1</f>
        <v/>
      </c>
      <c r="J9" s="13">
        <f>IF($D9=0,"",I9/$D9)</f>
        <v/>
      </c>
      <c r="K9" s="14">
        <f>IF(F9="","",IF(F9&lt;G9,"POR DEBAJO",IF(F9&gt;H9,"POR ENCIMA","EN MERCADO")))</f>
        <v/>
      </c>
      <c r="L9" s="16" t="inlineStr">
        <is>
          <t>V</t>
        </is>
      </c>
    </row>
    <row r="10">
      <c r="A10" s="8" t="inlineStr">
        <is>
          <t>BEAUTY</t>
        </is>
      </c>
      <c r="B10" s="8" t="inlineStr">
        <is>
          <t>GL</t>
        </is>
      </c>
      <c r="C10" s="8" t="inlineStr">
        <is>
          <t>GLOW Blend</t>
        </is>
      </c>
      <c r="D10" s="9" t="n">
        <v>70</v>
      </c>
      <c r="E10" s="8" t="inlineStr">
        <is>
          <t>mg</t>
        </is>
      </c>
      <c r="F10" s="20" t="n">
        <v>260</v>
      </c>
      <c r="G10" s="13">
        <f>BANDAS!$E$11*$D10</f>
        <v/>
      </c>
      <c r="H10" s="13">
        <f>BANDAS!$F$11*$D10</f>
        <v/>
      </c>
      <c r="I10" s="21">
        <f>ROUND(AVERAGE(G10,H10)/1,0)*1</f>
        <v/>
      </c>
      <c r="J10" s="13">
        <f>IF($D10=0,"",I10/$D10)</f>
        <v/>
      </c>
      <c r="K10" s="14">
        <f>IF(F10="","",IF(F10&lt;G10,"POR DEBAJO",IF(F10&gt;H10,"POR ENCIMA","EN MERCADO")))</f>
        <v/>
      </c>
      <c r="L10" s="15" t="inlineStr">
        <is>
          <t>D</t>
        </is>
      </c>
    </row>
    <row r="11">
      <c r="A11" s="8" t="inlineStr">
        <is>
          <t>BEAUTY</t>
        </is>
      </c>
      <c r="B11" s="8" t="inlineStr">
        <is>
          <t>GT</t>
        </is>
      </c>
      <c r="C11" s="8" t="inlineStr">
        <is>
          <t>Glutathione</t>
        </is>
      </c>
      <c r="D11" s="9" t="n">
        <v>600</v>
      </c>
      <c r="E11" s="8" t="inlineStr">
        <is>
          <t>mg</t>
        </is>
      </c>
      <c r="F11" s="20" t="n">
        <v>45</v>
      </c>
      <c r="G11" s="13">
        <f>BANDAS!$E$12*$D11</f>
        <v/>
      </c>
      <c r="H11" s="13">
        <f>BANDAS!$F$12*$D11</f>
        <v/>
      </c>
      <c r="I11" s="21">
        <f>ROUND(AVERAGE(G11,H11)/1,0)*1</f>
        <v/>
      </c>
      <c r="J11" s="13">
        <f>IF($D11=0,"",I11/$D11)</f>
        <v/>
      </c>
      <c r="K11" s="14">
        <f>IF(F11="","",IF(F11&lt;G11,"POR DEBAJO",IF(F11&gt;H11,"POR ENCIMA","EN MERCADO")))</f>
        <v/>
      </c>
      <c r="L11" s="15" t="inlineStr">
        <is>
          <t>D</t>
        </is>
      </c>
    </row>
    <row r="12">
      <c r="A12" s="8" t="inlineStr">
        <is>
          <t>BEAUTY</t>
        </is>
      </c>
      <c r="B12" s="8" t="inlineStr">
        <is>
          <t>GT</t>
        </is>
      </c>
      <c r="C12" s="8" t="inlineStr">
        <is>
          <t>Glutathione</t>
        </is>
      </c>
      <c r="D12" s="9" t="n">
        <v>1500</v>
      </c>
      <c r="E12" s="8" t="inlineStr">
        <is>
          <t>mg</t>
        </is>
      </c>
      <c r="F12" s="20" t="n">
        <v>110</v>
      </c>
      <c r="G12" s="13">
        <f>BANDAS!$E$12*$D12</f>
        <v/>
      </c>
      <c r="H12" s="13">
        <f>BANDAS!$F$12*$D12</f>
        <v/>
      </c>
      <c r="I12" s="21">
        <f>ROUND(AVERAGE(G12,H12)/1,0)*1</f>
        <v/>
      </c>
      <c r="J12" s="13">
        <f>IF($D12=0,"",I12/$D12)</f>
        <v/>
      </c>
      <c r="K12" s="14">
        <f>IF(F12="","",IF(F12&lt;G12,"POR DEBAJO",IF(F12&gt;H12,"POR ENCIMA","EN MERCADO")))</f>
        <v/>
      </c>
      <c r="L12" s="15" t="inlineStr">
        <is>
          <t>D</t>
        </is>
      </c>
    </row>
    <row r="13">
      <c r="A13" s="8" t="inlineStr">
        <is>
          <t>BEAUTY</t>
        </is>
      </c>
      <c r="B13" s="8" t="inlineStr">
        <is>
          <t>KL</t>
        </is>
      </c>
      <c r="C13" s="8" t="inlineStr">
        <is>
          <t>KLOW Blend</t>
        </is>
      </c>
      <c r="D13" s="9" t="n">
        <v>80</v>
      </c>
      <c r="E13" s="8" t="inlineStr">
        <is>
          <t>mg</t>
        </is>
      </c>
      <c r="F13" s="20" t="n">
        <v>300</v>
      </c>
      <c r="G13" s="13">
        <f>BANDAS!$E$13*$D13</f>
        <v/>
      </c>
      <c r="H13" s="13">
        <f>BANDAS!$F$13*$D13</f>
        <v/>
      </c>
      <c r="I13" s="21">
        <f>ROUND(AVERAGE(G13,H13)/1,0)*1</f>
        <v/>
      </c>
      <c r="J13" s="13">
        <f>IF($D13=0,"",I13/$D13)</f>
        <v/>
      </c>
      <c r="K13" s="14">
        <f>IF(F13="","",IF(F13&lt;G13,"POR DEBAJO",IF(F13&gt;H13,"POR ENCIMA","EN MERCADO")))</f>
        <v/>
      </c>
      <c r="L13" s="15" t="inlineStr">
        <is>
          <t>D</t>
        </is>
      </c>
    </row>
    <row r="14">
      <c r="A14" s="8" t="inlineStr">
        <is>
          <t>BEAUTY</t>
        </is>
      </c>
      <c r="B14" s="8" t="inlineStr">
        <is>
          <t>KP</t>
        </is>
      </c>
      <c r="C14" s="8" t="inlineStr">
        <is>
          <t>KPV</t>
        </is>
      </c>
      <c r="D14" s="9" t="n">
        <v>5</v>
      </c>
      <c r="E14" s="8" t="inlineStr">
        <is>
          <t>mg</t>
        </is>
      </c>
      <c r="F14" s="20" t="n">
        <v>20</v>
      </c>
      <c r="G14" s="13">
        <f>BANDAS!$E$14*$D14</f>
        <v/>
      </c>
      <c r="H14" s="13">
        <f>BANDAS!$F$14*$D14</f>
        <v/>
      </c>
      <c r="I14" s="21">
        <f>ROUND(AVERAGE(G14,H14)/1,0)*1</f>
        <v/>
      </c>
      <c r="J14" s="13">
        <f>IF($D14=0,"",I14/$D14)</f>
        <v/>
      </c>
      <c r="K14" s="14">
        <f>IF(F14="","",IF(F14&lt;G14,"POR DEBAJO",IF(F14&gt;H14,"POR ENCIMA","EN MERCADO")))</f>
        <v/>
      </c>
      <c r="L14" s="15" t="inlineStr">
        <is>
          <t>D</t>
        </is>
      </c>
    </row>
    <row r="15">
      <c r="A15" s="8" t="inlineStr">
        <is>
          <t>BEAUTY</t>
        </is>
      </c>
      <c r="B15" s="8" t="inlineStr">
        <is>
          <t>KP</t>
        </is>
      </c>
      <c r="C15" s="8" t="inlineStr">
        <is>
          <t>KPV</t>
        </is>
      </c>
      <c r="D15" s="9" t="n">
        <v>10</v>
      </c>
      <c r="E15" s="8" t="inlineStr">
        <is>
          <t>mg</t>
        </is>
      </c>
      <c r="F15" s="20" t="n">
        <v>35</v>
      </c>
      <c r="G15" s="13">
        <f>BANDAS!$E$14*$D15</f>
        <v/>
      </c>
      <c r="H15" s="13">
        <f>BANDAS!$F$14*$D15</f>
        <v/>
      </c>
      <c r="I15" s="21">
        <f>ROUND(AVERAGE(G15,H15)/1,0)*1</f>
        <v/>
      </c>
      <c r="J15" s="13">
        <f>IF($D15=0,"",I15/$D15)</f>
        <v/>
      </c>
      <c r="K15" s="14">
        <f>IF(F15="","",IF(F15&lt;G15,"POR DEBAJO",IF(F15&gt;H15,"POR ENCIMA","EN MERCADO")))</f>
        <v/>
      </c>
      <c r="L15" s="15" t="inlineStr">
        <is>
          <t>D</t>
        </is>
      </c>
    </row>
    <row r="16">
      <c r="A16" s="8" t="inlineStr">
        <is>
          <t>BEAUTY</t>
        </is>
      </c>
      <c r="B16" s="8" t="inlineStr">
        <is>
          <t>MX</t>
        </is>
      </c>
      <c r="C16" s="8" t="inlineStr">
        <is>
          <t>Matrixyl</t>
        </is>
      </c>
      <c r="D16" s="9" t="n">
        <v>10</v>
      </c>
      <c r="E16" s="8" t="inlineStr">
        <is>
          <t>mg</t>
        </is>
      </c>
      <c r="F16" s="20" t="n">
        <v>85</v>
      </c>
      <c r="G16" s="13">
        <f>BANDAS!$E$15*$D16</f>
        <v/>
      </c>
      <c r="H16" s="13">
        <f>BANDAS!$F$15*$D16</f>
        <v/>
      </c>
      <c r="I16" s="21">
        <f>ROUND(AVERAGE(G16,H16)/1,0)*1</f>
        <v/>
      </c>
      <c r="J16" s="13">
        <f>IF($D16=0,"",I16/$D16)</f>
        <v/>
      </c>
      <c r="K16" s="14">
        <f>IF(F16="","",IF(F16&lt;G16,"POR DEBAJO",IF(F16&gt;H16,"POR ENCIMA","EN MERCADO")))</f>
        <v/>
      </c>
      <c r="L16" s="15" t="inlineStr">
        <is>
          <t>D</t>
        </is>
      </c>
    </row>
    <row r="17">
      <c r="A17" s="8" t="inlineStr">
        <is>
          <t>BEAUTY</t>
        </is>
      </c>
      <c r="B17" s="8" t="inlineStr">
        <is>
          <t>MT1</t>
        </is>
      </c>
      <c r="C17" s="8" t="inlineStr">
        <is>
          <t>Melanotan I</t>
        </is>
      </c>
      <c r="D17" s="9" t="n">
        <v>10</v>
      </c>
      <c r="E17" s="8" t="inlineStr">
        <is>
          <t>mg</t>
        </is>
      </c>
      <c r="F17" s="20" t="n">
        <v>40</v>
      </c>
      <c r="G17" s="13">
        <f>BANDAS!$E$16*$D17</f>
        <v/>
      </c>
      <c r="H17" s="13">
        <f>BANDAS!$F$16*$D17</f>
        <v/>
      </c>
      <c r="I17" s="21">
        <f>ROUND(AVERAGE(G17,H17)/1,0)*1</f>
        <v/>
      </c>
      <c r="J17" s="13">
        <f>IF($D17=0,"",I17/$D17)</f>
        <v/>
      </c>
      <c r="K17" s="14">
        <f>IF(F17="","",IF(F17&lt;G17,"POR DEBAJO",IF(F17&gt;H17,"POR ENCIMA","EN MERCADO")))</f>
        <v/>
      </c>
      <c r="L17" s="15" t="inlineStr">
        <is>
          <t>D</t>
        </is>
      </c>
    </row>
    <row r="18">
      <c r="A18" s="8" t="inlineStr">
        <is>
          <t>BEAUTY</t>
        </is>
      </c>
      <c r="B18" s="8" t="inlineStr">
        <is>
          <t>MT2</t>
        </is>
      </c>
      <c r="C18" s="8" t="inlineStr">
        <is>
          <t>Melanotan II</t>
        </is>
      </c>
      <c r="D18" s="9" t="n">
        <v>10</v>
      </c>
      <c r="E18" s="8" t="inlineStr">
        <is>
          <t>mg</t>
        </is>
      </c>
      <c r="F18" s="20" t="n">
        <v>40</v>
      </c>
      <c r="G18" s="13">
        <f>BANDAS!$E$17*$D18</f>
        <v/>
      </c>
      <c r="H18" s="13">
        <f>BANDAS!$F$17*$D18</f>
        <v/>
      </c>
      <c r="I18" s="21">
        <f>ROUND(AVERAGE(G18,H18)/1,0)*1</f>
        <v/>
      </c>
      <c r="J18" s="13">
        <f>IF($D18=0,"",I18/$D18)</f>
        <v/>
      </c>
      <c r="K18" s="14">
        <f>IF(F18="","",IF(F18&lt;G18,"POR DEBAJO",IF(F18&gt;H18,"POR ENCIMA","EN MERCADO")))</f>
        <v/>
      </c>
      <c r="L18" s="16" t="inlineStr">
        <is>
          <t>V</t>
        </is>
      </c>
    </row>
    <row r="19">
      <c r="A19" s="8" t="inlineStr">
        <is>
          <t>BEAUTY</t>
        </is>
      </c>
      <c r="B19" s="8" t="inlineStr">
        <is>
          <t>OT</t>
        </is>
      </c>
      <c r="C19" s="8" t="inlineStr">
        <is>
          <t>Oxytocin</t>
        </is>
      </c>
      <c r="D19" s="9" t="n">
        <v>5</v>
      </c>
      <c r="E19" s="8" t="inlineStr">
        <is>
          <t>mg</t>
        </is>
      </c>
      <c r="F19" s="20" t="n">
        <v>40</v>
      </c>
      <c r="G19" s="13">
        <f>BANDAS!$E$18*$D19</f>
        <v/>
      </c>
      <c r="H19" s="13">
        <f>BANDAS!$F$18*$D19</f>
        <v/>
      </c>
      <c r="I19" s="21">
        <f>ROUND(AVERAGE(G19,H19)/1,0)*1</f>
        <v/>
      </c>
      <c r="J19" s="13">
        <f>IF($D19=0,"",I19/$D19)</f>
        <v/>
      </c>
      <c r="K19" s="14">
        <f>IF(F19="","",IF(F19&lt;G19,"POR DEBAJO",IF(F19&gt;H19,"POR ENCIMA","EN MERCADO")))</f>
        <v/>
      </c>
      <c r="L19" s="15" t="inlineStr">
        <is>
          <t>D</t>
        </is>
      </c>
    </row>
    <row r="20">
      <c r="A20" s="8" t="inlineStr">
        <is>
          <t>BEAUTY</t>
        </is>
      </c>
      <c r="B20" s="8" t="inlineStr">
        <is>
          <t>PT</t>
        </is>
      </c>
      <c r="C20" s="8" t="inlineStr">
        <is>
          <t>PT-141</t>
        </is>
      </c>
      <c r="D20" s="9" t="n">
        <v>10</v>
      </c>
      <c r="E20" s="8" t="inlineStr">
        <is>
          <t>mg</t>
        </is>
      </c>
      <c r="F20" s="20" t="n">
        <v>40</v>
      </c>
      <c r="G20" s="13">
        <f>BANDAS!$E$19*$D20</f>
        <v/>
      </c>
      <c r="H20" s="13">
        <f>BANDAS!$F$19*$D20</f>
        <v/>
      </c>
      <c r="I20" s="21">
        <f>ROUND(AVERAGE(G20,H20)/1,0)*1</f>
        <v/>
      </c>
      <c r="J20" s="13">
        <f>IF($D20=0,"",I20/$D20)</f>
        <v/>
      </c>
      <c r="K20" s="14">
        <f>IF(F20="","",IF(F20&lt;G20,"POR DEBAJO",IF(F20&gt;H20,"POR ENCIMA","EN MERCADO")))</f>
        <v/>
      </c>
      <c r="L20" s="16" t="inlineStr">
        <is>
          <t>V</t>
        </is>
      </c>
    </row>
    <row r="21">
      <c r="A21" s="8" t="inlineStr">
        <is>
          <t>BEAUTY</t>
        </is>
      </c>
      <c r="B21" s="8" t="inlineStr">
        <is>
          <t>NP8</t>
        </is>
      </c>
      <c r="C21" s="8" t="inlineStr">
        <is>
          <t>Snap-8</t>
        </is>
      </c>
      <c r="D21" s="9" t="n">
        <v>10</v>
      </c>
      <c r="E21" s="8" t="inlineStr">
        <is>
          <t>mg</t>
        </is>
      </c>
      <c r="F21" s="20" t="n">
        <v>35</v>
      </c>
      <c r="G21" s="13">
        <f>BANDAS!$E$20*$D21</f>
        <v/>
      </c>
      <c r="H21" s="13">
        <f>BANDAS!$F$20*$D21</f>
        <v/>
      </c>
      <c r="I21" s="21">
        <f>ROUND(AVERAGE(G21,H21)/1,0)*1</f>
        <v/>
      </c>
      <c r="J21" s="13">
        <f>IF($D21=0,"",I21/$D21)</f>
        <v/>
      </c>
      <c r="K21" s="14">
        <f>IF(F21="","",IF(F21&lt;G21,"POR DEBAJO",IF(F21&gt;H21,"POR ENCIMA","EN MERCADO")))</f>
        <v/>
      </c>
      <c r="L21" s="15" t="inlineStr">
        <is>
          <t>D</t>
        </is>
      </c>
    </row>
    <row r="22">
      <c r="A22" s="8" t="inlineStr">
        <is>
          <t>FITNESS</t>
        </is>
      </c>
      <c r="B22" s="8" t="inlineStr">
        <is>
          <t>AM</t>
        </is>
      </c>
      <c r="C22" s="8" t="inlineStr">
        <is>
          <t>5-Amino-1MQ</t>
        </is>
      </c>
      <c r="D22" s="9" t="n">
        <v>5</v>
      </c>
      <c r="E22" s="8" t="inlineStr">
        <is>
          <t>mg</t>
        </is>
      </c>
      <c r="F22" s="20" t="n">
        <v>12</v>
      </c>
      <c r="G22" s="13">
        <f>BANDAS!$E$21*$D22</f>
        <v/>
      </c>
      <c r="H22" s="13">
        <f>BANDAS!$F$21*$D22</f>
        <v/>
      </c>
      <c r="I22" s="21">
        <f>ROUND(AVERAGE(G22,H22)/1,0)*1</f>
        <v/>
      </c>
      <c r="J22" s="13">
        <f>IF($D22=0,"",I22/$D22)</f>
        <v/>
      </c>
      <c r="K22" s="14">
        <f>IF(F22="","",IF(F22&lt;G22,"POR DEBAJO",IF(F22&gt;H22,"POR ENCIMA","EN MERCADO")))</f>
        <v/>
      </c>
      <c r="L22" s="15" t="inlineStr">
        <is>
          <t>D</t>
        </is>
      </c>
    </row>
    <row r="23">
      <c r="A23" s="8" t="inlineStr">
        <is>
          <t>FITNESS</t>
        </is>
      </c>
      <c r="B23" s="8" t="inlineStr">
        <is>
          <t>AM</t>
        </is>
      </c>
      <c r="C23" s="8" t="inlineStr">
        <is>
          <t>5-Amino-1MQ</t>
        </is>
      </c>
      <c r="D23" s="9" t="n">
        <v>10</v>
      </c>
      <c r="E23" s="8" t="inlineStr">
        <is>
          <t>mg</t>
        </is>
      </c>
      <c r="F23" s="20" t="n">
        <v>21</v>
      </c>
      <c r="G23" s="13">
        <f>BANDAS!$E$21*$D23</f>
        <v/>
      </c>
      <c r="H23" s="13">
        <f>BANDAS!$F$21*$D23</f>
        <v/>
      </c>
      <c r="I23" s="21">
        <f>ROUND(AVERAGE(G23,H23)/1,0)*1</f>
        <v/>
      </c>
      <c r="J23" s="13">
        <f>IF($D23=0,"",I23/$D23)</f>
        <v/>
      </c>
      <c r="K23" s="14">
        <f>IF(F23="","",IF(F23&lt;G23,"POR DEBAJO",IF(F23&gt;H23,"POR ENCIMA","EN MERCADO")))</f>
        <v/>
      </c>
      <c r="L23" s="15" t="inlineStr">
        <is>
          <t>D</t>
        </is>
      </c>
    </row>
    <row r="24">
      <c r="A24" s="8" t="inlineStr">
        <is>
          <t>FITNESS</t>
        </is>
      </c>
      <c r="B24" s="8" t="inlineStr">
        <is>
          <t>AM</t>
        </is>
      </c>
      <c r="C24" s="8" t="inlineStr">
        <is>
          <t>5-Amino-1MQ</t>
        </is>
      </c>
      <c r="D24" s="9" t="n">
        <v>50</v>
      </c>
      <c r="E24" s="8" t="inlineStr">
        <is>
          <t>mg</t>
        </is>
      </c>
      <c r="F24" s="20" t="n">
        <v>95</v>
      </c>
      <c r="G24" s="13">
        <f>BANDAS!$E$21*$D24</f>
        <v/>
      </c>
      <c r="H24" s="13">
        <f>BANDAS!$F$21*$D24</f>
        <v/>
      </c>
      <c r="I24" s="21">
        <f>ROUND(AVERAGE(G24,H24)/1,0)*1</f>
        <v/>
      </c>
      <c r="J24" s="13">
        <f>IF($D24=0,"",I24/$D24)</f>
        <v/>
      </c>
      <c r="K24" s="14">
        <f>IF(F24="","",IF(F24&lt;G24,"POR DEBAJO",IF(F24&gt;H24,"POR ENCIMA","EN MERCADO")))</f>
        <v/>
      </c>
      <c r="L24" s="15" t="inlineStr">
        <is>
          <t>D</t>
        </is>
      </c>
    </row>
    <row r="25">
      <c r="A25" s="8" t="inlineStr">
        <is>
          <t>FITNESS</t>
        </is>
      </c>
      <c r="B25" s="8" t="inlineStr">
        <is>
          <t>AR</t>
        </is>
      </c>
      <c r="C25" s="8" t="inlineStr">
        <is>
          <t>AICAR</t>
        </is>
      </c>
      <c r="D25" s="9" t="n">
        <v>50</v>
      </c>
      <c r="E25" s="8" t="inlineStr">
        <is>
          <t>mg</t>
        </is>
      </c>
      <c r="F25" s="20" t="n">
        <v>55</v>
      </c>
      <c r="G25" s="13">
        <f>BANDAS!$E$22*$D25</f>
        <v/>
      </c>
      <c r="H25" s="13">
        <f>BANDAS!$F$22*$D25</f>
        <v/>
      </c>
      <c r="I25" s="21">
        <f>ROUND(AVERAGE(G25,H25)/1,0)*1</f>
        <v/>
      </c>
      <c r="J25" s="13">
        <f>IF($D25=0,"",I25/$D25)</f>
        <v/>
      </c>
      <c r="K25" s="14">
        <f>IF(F25="","",IF(F25&lt;G25,"POR DEBAJO",IF(F25&gt;H25,"POR ENCIMA","EN MERCADO")))</f>
        <v/>
      </c>
      <c r="L25" s="15" t="inlineStr">
        <is>
          <t>D</t>
        </is>
      </c>
    </row>
    <row r="26">
      <c r="A26" s="8" t="inlineStr">
        <is>
          <t>FITNESS</t>
        </is>
      </c>
      <c r="B26" s="8" t="inlineStr">
        <is>
          <t>AR</t>
        </is>
      </c>
      <c r="C26" s="8" t="inlineStr">
        <is>
          <t>AICAR</t>
        </is>
      </c>
      <c r="D26" s="9" t="n">
        <v>100</v>
      </c>
      <c r="E26" s="8" t="inlineStr">
        <is>
          <t>mg</t>
        </is>
      </c>
      <c r="F26" s="20" t="n">
        <v>110</v>
      </c>
      <c r="G26" s="13">
        <f>BANDAS!$E$22*$D26</f>
        <v/>
      </c>
      <c r="H26" s="13">
        <f>BANDAS!$F$22*$D26</f>
        <v/>
      </c>
      <c r="I26" s="21">
        <f>ROUND(AVERAGE(G26,H26)/1,0)*1</f>
        <v/>
      </c>
      <c r="J26" s="13">
        <f>IF($D26=0,"",I26/$D26)</f>
        <v/>
      </c>
      <c r="K26" s="14">
        <f>IF(F26="","",IF(F26&lt;G26,"POR DEBAJO",IF(F26&gt;H26,"POR ENCIMA","EN MERCADO")))</f>
        <v/>
      </c>
      <c r="L26" s="15" t="inlineStr">
        <is>
          <t>D</t>
        </is>
      </c>
    </row>
    <row r="27">
      <c r="A27" s="8" t="inlineStr">
        <is>
          <t>FITNESS</t>
        </is>
      </c>
      <c r="B27" s="8" t="inlineStr">
        <is>
          <t>AD</t>
        </is>
      </c>
      <c r="C27" s="8" t="inlineStr">
        <is>
          <t>AOD-9604</t>
        </is>
      </c>
      <c r="D27" s="9" t="n">
        <v>5</v>
      </c>
      <c r="E27" s="8" t="inlineStr">
        <is>
          <t>mg</t>
        </is>
      </c>
      <c r="F27" s="20" t="n">
        <v>31</v>
      </c>
      <c r="G27" s="13">
        <f>BANDAS!$E$23*$D27</f>
        <v/>
      </c>
      <c r="H27" s="13">
        <f>BANDAS!$F$23*$D27</f>
        <v/>
      </c>
      <c r="I27" s="21">
        <f>ROUND(AVERAGE(G27,H27)/1,0)*1</f>
        <v/>
      </c>
      <c r="J27" s="13">
        <f>IF($D27=0,"",I27/$D27)</f>
        <v/>
      </c>
      <c r="K27" s="14">
        <f>IF(F27="","",IF(F27&lt;G27,"POR DEBAJO",IF(F27&gt;H27,"POR ENCIMA","EN MERCADO")))</f>
        <v/>
      </c>
      <c r="L27" s="15" t="inlineStr">
        <is>
          <t>D</t>
        </is>
      </c>
    </row>
    <row r="28">
      <c r="A28" s="8" t="inlineStr">
        <is>
          <t>FITNESS</t>
        </is>
      </c>
      <c r="B28" s="8" t="inlineStr">
        <is>
          <t>AD</t>
        </is>
      </c>
      <c r="C28" s="8" t="inlineStr">
        <is>
          <t>AOD-9604</t>
        </is>
      </c>
      <c r="D28" s="9" t="n">
        <v>10</v>
      </c>
      <c r="E28" s="8" t="inlineStr">
        <is>
          <t>mg</t>
        </is>
      </c>
      <c r="F28" s="20" t="n">
        <v>56</v>
      </c>
      <c r="G28" s="13">
        <f>BANDAS!$E$23*$D28</f>
        <v/>
      </c>
      <c r="H28" s="13">
        <f>BANDAS!$F$23*$D28</f>
        <v/>
      </c>
      <c r="I28" s="21">
        <f>ROUND(AVERAGE(G28,H28)/1,0)*1</f>
        <v/>
      </c>
      <c r="J28" s="13">
        <f>IF($D28=0,"",I28/$D28)</f>
        <v/>
      </c>
      <c r="K28" s="14">
        <f>IF(F28="","",IF(F28&lt;G28,"POR DEBAJO",IF(F28&gt;H28,"POR ENCIMA","EN MERCADO")))</f>
        <v/>
      </c>
      <c r="L28" s="15" t="inlineStr">
        <is>
          <t>D</t>
        </is>
      </c>
    </row>
    <row r="29">
      <c r="A29" s="8" t="inlineStr">
        <is>
          <t>FITNESS</t>
        </is>
      </c>
      <c r="B29" s="8" t="inlineStr">
        <is>
          <t>AX</t>
        </is>
      </c>
      <c r="C29" s="8" t="inlineStr">
        <is>
          <t>Adamax</t>
        </is>
      </c>
      <c r="D29" s="9" t="n">
        <v>10</v>
      </c>
      <c r="E29" s="8" t="inlineStr">
        <is>
          <t>mg</t>
        </is>
      </c>
      <c r="F29" s="20" t="n">
        <v>85</v>
      </c>
      <c r="G29" s="13">
        <f>BANDAS!$E$24*$D29</f>
        <v/>
      </c>
      <c r="H29" s="13">
        <f>BANDAS!$F$24*$D29</f>
        <v/>
      </c>
      <c r="I29" s="21">
        <f>ROUND(AVERAGE(G29,H29)/1,0)*1</f>
        <v/>
      </c>
      <c r="J29" s="13">
        <f>IF($D29=0,"",I29/$D29)</f>
        <v/>
      </c>
      <c r="K29" s="14">
        <f>IF(F29="","",IF(F29&lt;G29,"POR DEBAJO",IF(F29&gt;H29,"POR ENCIMA","EN MERCADO")))</f>
        <v/>
      </c>
      <c r="L29" s="15" t="inlineStr">
        <is>
          <t>D</t>
        </is>
      </c>
    </row>
    <row r="30">
      <c r="A30" s="8" t="inlineStr">
        <is>
          <t>FITNESS</t>
        </is>
      </c>
      <c r="B30" s="8" t="inlineStr">
        <is>
          <t>APT</t>
        </is>
      </c>
      <c r="C30" s="8" t="inlineStr">
        <is>
          <t>Adipotide</t>
        </is>
      </c>
      <c r="D30" s="9" t="n">
        <v>5</v>
      </c>
      <c r="E30" s="8" t="inlineStr">
        <is>
          <t>mg</t>
        </is>
      </c>
      <c r="F30" s="20" t="n">
        <v>40</v>
      </c>
      <c r="G30" s="13">
        <f>BANDAS!$E$25*$D30</f>
        <v/>
      </c>
      <c r="H30" s="13">
        <f>BANDAS!$F$25*$D30</f>
        <v/>
      </c>
      <c r="I30" s="21">
        <f>ROUND(AVERAGE(G30,H30)/1,0)*1</f>
        <v/>
      </c>
      <c r="J30" s="13">
        <f>IF($D30=0,"",I30/$D30)</f>
        <v/>
      </c>
      <c r="K30" s="14">
        <f>IF(F30="","",IF(F30&lt;G30,"POR DEBAJO",IF(F30&gt;H30,"POR ENCIMA","EN MERCADO")))</f>
        <v/>
      </c>
      <c r="L30" s="15" t="inlineStr">
        <is>
          <t>D</t>
        </is>
      </c>
    </row>
    <row r="31">
      <c r="A31" s="8" t="inlineStr">
        <is>
          <t>FITNESS</t>
        </is>
      </c>
      <c r="B31" s="8" t="inlineStr">
        <is>
          <t>APT</t>
        </is>
      </c>
      <c r="C31" s="8" t="inlineStr">
        <is>
          <t>Adipotide</t>
        </is>
      </c>
      <c r="D31" s="9" t="n">
        <v>10</v>
      </c>
      <c r="E31" s="8" t="inlineStr">
        <is>
          <t>mg</t>
        </is>
      </c>
      <c r="F31" s="20" t="n">
        <v>85</v>
      </c>
      <c r="G31" s="13">
        <f>BANDAS!$E$25*$D31</f>
        <v/>
      </c>
      <c r="H31" s="13">
        <f>BANDAS!$F$25*$D31</f>
        <v/>
      </c>
      <c r="I31" s="21">
        <f>ROUND(AVERAGE(G31,H31)/1,0)*1</f>
        <v/>
      </c>
      <c r="J31" s="13">
        <f>IF($D31=0,"",I31/$D31)</f>
        <v/>
      </c>
      <c r="K31" s="14">
        <f>IF(F31="","",IF(F31&lt;G31,"POR DEBAJO",IF(F31&gt;H31,"POR ENCIMA","EN MERCADO")))</f>
        <v/>
      </c>
      <c r="L31" s="15" t="inlineStr">
        <is>
          <t>D</t>
        </is>
      </c>
    </row>
    <row r="32">
      <c r="A32" s="8" t="inlineStr">
        <is>
          <t>FITNESS</t>
        </is>
      </c>
      <c r="B32" s="8" t="inlineStr">
        <is>
          <t>RA</t>
        </is>
      </c>
      <c r="C32" s="8" t="inlineStr">
        <is>
          <t>Ara-290</t>
        </is>
      </c>
      <c r="D32" s="9" t="n">
        <v>10</v>
      </c>
      <c r="E32" s="8" t="inlineStr">
        <is>
          <t>mg</t>
        </is>
      </c>
      <c r="F32" s="20" t="n">
        <v>85</v>
      </c>
      <c r="G32" s="13">
        <f>BANDAS!$E$26*$D32</f>
        <v/>
      </c>
      <c r="H32" s="13">
        <f>BANDAS!$F$26*$D32</f>
        <v/>
      </c>
      <c r="I32" s="21">
        <f>ROUND(AVERAGE(G32,H32)/1,0)*1</f>
        <v/>
      </c>
      <c r="J32" s="13">
        <f>IF($D32=0,"",I32/$D32)</f>
        <v/>
      </c>
      <c r="K32" s="14">
        <f>IF(F32="","",IF(F32&lt;G32,"POR DEBAJO",IF(F32&gt;H32,"POR ENCIMA","EN MERCADO")))</f>
        <v/>
      </c>
      <c r="L32" s="15" t="inlineStr">
        <is>
          <t>D</t>
        </is>
      </c>
    </row>
    <row r="33">
      <c r="A33" s="8" t="inlineStr">
        <is>
          <t>FITNESS</t>
        </is>
      </c>
      <c r="B33" s="8" t="inlineStr">
        <is>
          <t>BC</t>
        </is>
      </c>
      <c r="C33" s="8" t="inlineStr">
        <is>
          <t>BPC-157</t>
        </is>
      </c>
      <c r="D33" s="9" t="n">
        <v>5</v>
      </c>
      <c r="E33" s="8" t="inlineStr">
        <is>
          <t>mg</t>
        </is>
      </c>
      <c r="F33" s="20" t="n">
        <v>20</v>
      </c>
      <c r="G33" s="13">
        <f>BANDAS!$E$27*$D33</f>
        <v/>
      </c>
      <c r="H33" s="13">
        <f>BANDAS!$F$27*$D33</f>
        <v/>
      </c>
      <c r="I33" s="21">
        <f>ROUND(AVERAGE(G33,H33)/1,0)*1</f>
        <v/>
      </c>
      <c r="J33" s="13">
        <f>IF($D33=0,"",I33/$D33)</f>
        <v/>
      </c>
      <c r="K33" s="14">
        <f>IF(F33="","",IF(F33&lt;G33,"POR DEBAJO",IF(F33&gt;H33,"POR ENCIMA","EN MERCADO")))</f>
        <v/>
      </c>
      <c r="L33" s="16" t="inlineStr">
        <is>
          <t>V</t>
        </is>
      </c>
    </row>
    <row r="34">
      <c r="A34" s="8" t="inlineStr">
        <is>
          <t>FITNESS</t>
        </is>
      </c>
      <c r="B34" s="8" t="inlineStr">
        <is>
          <t>BC</t>
        </is>
      </c>
      <c r="C34" s="8" t="inlineStr">
        <is>
          <t>BPC-157</t>
        </is>
      </c>
      <c r="D34" s="9" t="n">
        <v>10</v>
      </c>
      <c r="E34" s="8" t="inlineStr">
        <is>
          <t>mg</t>
        </is>
      </c>
      <c r="F34" s="20" t="n">
        <v>35</v>
      </c>
      <c r="G34" s="13">
        <f>BANDAS!$E$27*$D34</f>
        <v/>
      </c>
      <c r="H34" s="13">
        <f>BANDAS!$F$27*$D34</f>
        <v/>
      </c>
      <c r="I34" s="21">
        <f>ROUND(AVERAGE(G34,H34)/1,0)*1</f>
        <v/>
      </c>
      <c r="J34" s="13">
        <f>IF($D34=0,"",I34/$D34)</f>
        <v/>
      </c>
      <c r="K34" s="14">
        <f>IF(F34="","",IF(F34&lt;G34,"POR DEBAJO",IF(F34&gt;H34,"POR ENCIMA","EN MERCADO")))</f>
        <v/>
      </c>
      <c r="L34" s="16" t="inlineStr">
        <is>
          <t>V</t>
        </is>
      </c>
    </row>
    <row r="35">
      <c r="A35" s="8" t="inlineStr">
        <is>
          <t>FITNESS</t>
        </is>
      </c>
      <c r="B35" s="8" t="inlineStr">
        <is>
          <t>BC</t>
        </is>
      </c>
      <c r="C35" s="8" t="inlineStr">
        <is>
          <t>BPC-157</t>
        </is>
      </c>
      <c r="D35" s="9" t="n">
        <v>20</v>
      </c>
      <c r="E35" s="8" t="inlineStr">
        <is>
          <t>mg</t>
        </is>
      </c>
      <c r="F35" s="20" t="n">
        <v>75</v>
      </c>
      <c r="G35" s="13">
        <f>BANDAS!$E$27*$D35</f>
        <v/>
      </c>
      <c r="H35" s="13">
        <f>BANDAS!$F$27*$D35</f>
        <v/>
      </c>
      <c r="I35" s="21">
        <f>ROUND(AVERAGE(G35,H35)/1,0)*1</f>
        <v/>
      </c>
      <c r="J35" s="13">
        <f>IF($D35=0,"",I35/$D35)</f>
        <v/>
      </c>
      <c r="K35" s="14">
        <f>IF(F35="","",IF(F35&lt;G35,"POR DEBAJO",IF(F35&gt;H35,"POR ENCIMA","EN MERCADO")))</f>
        <v/>
      </c>
      <c r="L35" s="16" t="inlineStr">
        <is>
          <t>V</t>
        </is>
      </c>
    </row>
    <row r="36">
      <c r="A36" s="8" t="inlineStr">
        <is>
          <t>FITNESS</t>
        </is>
      </c>
      <c r="B36" s="8" t="inlineStr">
        <is>
          <t>BB</t>
        </is>
      </c>
      <c r="C36" s="8" t="inlineStr">
        <is>
          <t>BPC-157 + TB-500</t>
        </is>
      </c>
      <c r="D36" s="9" t="n">
        <v>10</v>
      </c>
      <c r="E36" s="8" t="inlineStr">
        <is>
          <t>mg</t>
        </is>
      </c>
      <c r="F36" s="20" t="n">
        <v>35</v>
      </c>
      <c r="G36" s="13">
        <f>BANDAS!$E$28*$D36</f>
        <v/>
      </c>
      <c r="H36" s="13">
        <f>BANDAS!$F$28*$D36</f>
        <v/>
      </c>
      <c r="I36" s="21">
        <f>ROUND(AVERAGE(G36,H36)/1,0)*1</f>
        <v/>
      </c>
      <c r="J36" s="13">
        <f>IF($D36=0,"",I36/$D36)</f>
        <v/>
      </c>
      <c r="K36" s="14">
        <f>IF(F36="","",IF(F36&lt;G36,"POR DEBAJO",IF(F36&gt;H36,"POR ENCIMA","EN MERCADO")))</f>
        <v/>
      </c>
      <c r="L36" s="15" t="inlineStr">
        <is>
          <t>D</t>
        </is>
      </c>
    </row>
    <row r="37">
      <c r="A37" s="8" t="inlineStr">
        <is>
          <t>FITNESS</t>
        </is>
      </c>
      <c r="B37" s="8" t="inlineStr">
        <is>
          <t>BB</t>
        </is>
      </c>
      <c r="C37" s="8" t="inlineStr">
        <is>
          <t>BPC-157 + TB-500</t>
        </is>
      </c>
      <c r="D37" s="9" t="n">
        <v>20</v>
      </c>
      <c r="E37" s="8" t="inlineStr">
        <is>
          <t>mg</t>
        </is>
      </c>
      <c r="F37" s="20" t="n">
        <v>75</v>
      </c>
      <c r="G37" s="13">
        <f>BANDAS!$E$28*$D37</f>
        <v/>
      </c>
      <c r="H37" s="13">
        <f>BANDAS!$F$28*$D37</f>
        <v/>
      </c>
      <c r="I37" s="21">
        <f>ROUND(AVERAGE(G37,H37)/1,0)*1</f>
        <v/>
      </c>
      <c r="J37" s="13">
        <f>IF($D37=0,"",I37/$D37)</f>
        <v/>
      </c>
      <c r="K37" s="14">
        <f>IF(F37="","",IF(F37&lt;G37,"POR DEBAJO",IF(F37&gt;H37,"POR ENCIMA","EN MERCADO")))</f>
        <v/>
      </c>
      <c r="L37" s="15" t="inlineStr">
        <is>
          <t>D</t>
        </is>
      </c>
    </row>
    <row r="38">
      <c r="A38" s="8" t="inlineStr">
        <is>
          <t>FITNESS</t>
        </is>
      </c>
      <c r="B38" s="8" t="inlineStr">
        <is>
          <t>CD</t>
        </is>
      </c>
      <c r="C38" s="8" t="inlineStr">
        <is>
          <t>CJC-1295 (DAC)</t>
        </is>
      </c>
      <c r="D38" s="9" t="n">
        <v>5</v>
      </c>
      <c r="E38" s="8" t="inlineStr">
        <is>
          <t>mg</t>
        </is>
      </c>
      <c r="F38" s="20" t="n">
        <v>44</v>
      </c>
      <c r="G38" s="13">
        <f>BANDAS!$E$29*$D38</f>
        <v/>
      </c>
      <c r="H38" s="13">
        <f>BANDAS!$F$29*$D38</f>
        <v/>
      </c>
      <c r="I38" s="21">
        <f>ROUND(AVERAGE(G38,H38)/1,0)*1</f>
        <v/>
      </c>
      <c r="J38" s="13">
        <f>IF($D38=0,"",I38/$D38)</f>
        <v/>
      </c>
      <c r="K38" s="14">
        <f>IF(F38="","",IF(F38&lt;G38,"POR DEBAJO",IF(F38&gt;H38,"POR ENCIMA","EN MERCADO")))</f>
        <v/>
      </c>
      <c r="L38" s="15" t="inlineStr">
        <is>
          <t>D</t>
        </is>
      </c>
    </row>
    <row r="39">
      <c r="A39" s="8" t="inlineStr">
        <is>
          <t>FITNESS</t>
        </is>
      </c>
      <c r="B39" s="8" t="inlineStr">
        <is>
          <t>CD</t>
        </is>
      </c>
      <c r="C39" s="8" t="inlineStr">
        <is>
          <t>CJC-1295 (DAC)</t>
        </is>
      </c>
      <c r="D39" s="9" t="n">
        <v>10</v>
      </c>
      <c r="E39" s="8" t="inlineStr">
        <is>
          <t>mg</t>
        </is>
      </c>
      <c r="F39" s="20" t="n">
        <v>82</v>
      </c>
      <c r="G39" s="13">
        <f>BANDAS!$E$29*$D39</f>
        <v/>
      </c>
      <c r="H39" s="13">
        <f>BANDAS!$F$29*$D39</f>
        <v/>
      </c>
      <c r="I39" s="21">
        <f>ROUND(AVERAGE(G39,H39)/1,0)*1</f>
        <v/>
      </c>
      <c r="J39" s="13">
        <f>IF($D39=0,"",I39/$D39)</f>
        <v/>
      </c>
      <c r="K39" s="14">
        <f>IF(F39="","",IF(F39&lt;G39,"POR DEBAJO",IF(F39&gt;H39,"POR ENCIMA","EN MERCADO")))</f>
        <v/>
      </c>
      <c r="L39" s="15" t="inlineStr">
        <is>
          <t>D</t>
        </is>
      </c>
    </row>
    <row r="40">
      <c r="A40" s="8" t="inlineStr">
        <is>
          <t>FITNESS</t>
        </is>
      </c>
      <c r="B40" s="8" t="inlineStr">
        <is>
          <t>CN</t>
        </is>
      </c>
      <c r="C40" s="8" t="inlineStr">
        <is>
          <t>CJC-1295 (no DAC)</t>
        </is>
      </c>
      <c r="D40" s="9" t="n">
        <v>5</v>
      </c>
      <c r="E40" s="8" t="inlineStr">
        <is>
          <t>mg</t>
        </is>
      </c>
      <c r="F40" s="20" t="n">
        <v>25</v>
      </c>
      <c r="G40" s="13">
        <f>BANDAS!$E$30*$D40</f>
        <v/>
      </c>
      <c r="H40" s="13">
        <f>BANDAS!$F$30*$D40</f>
        <v/>
      </c>
      <c r="I40" s="21">
        <f>ROUND(AVERAGE(G40,H40)/1,0)*1</f>
        <v/>
      </c>
      <c r="J40" s="13">
        <f>IF($D40=0,"",I40/$D40)</f>
        <v/>
      </c>
      <c r="K40" s="14">
        <f>IF(F40="","",IF(F40&lt;G40,"POR DEBAJO",IF(F40&gt;H40,"POR ENCIMA","EN MERCADO")))</f>
        <v/>
      </c>
      <c r="L40" s="15" t="inlineStr">
        <is>
          <t>D</t>
        </is>
      </c>
    </row>
    <row r="41">
      <c r="A41" s="8" t="inlineStr">
        <is>
          <t>FITNESS</t>
        </is>
      </c>
      <c r="B41" s="8" t="inlineStr">
        <is>
          <t>CN</t>
        </is>
      </c>
      <c r="C41" s="8" t="inlineStr">
        <is>
          <t>CJC-1295 (no DAC)</t>
        </is>
      </c>
      <c r="D41" s="9" t="n">
        <v>10</v>
      </c>
      <c r="E41" s="8" t="inlineStr">
        <is>
          <t>mg</t>
        </is>
      </c>
      <c r="F41" s="20" t="n">
        <v>50</v>
      </c>
      <c r="G41" s="13">
        <f>BANDAS!$E$30*$D41</f>
        <v/>
      </c>
      <c r="H41" s="13">
        <f>BANDAS!$F$30*$D41</f>
        <v/>
      </c>
      <c r="I41" s="21">
        <f>ROUND(AVERAGE(G41,H41)/1,0)*1</f>
        <v/>
      </c>
      <c r="J41" s="13">
        <f>IF($D41=0,"",I41/$D41)</f>
        <v/>
      </c>
      <c r="K41" s="14">
        <f>IF(F41="","",IF(F41&lt;G41,"POR DEBAJO",IF(F41&gt;H41,"POR ENCIMA","EN MERCADO")))</f>
        <v/>
      </c>
      <c r="L41" s="15" t="inlineStr">
        <is>
          <t>D</t>
        </is>
      </c>
    </row>
    <row r="42">
      <c r="A42" s="8" t="inlineStr">
        <is>
          <t>FITNESS</t>
        </is>
      </c>
      <c r="B42" s="8" t="inlineStr">
        <is>
          <t>CP</t>
        </is>
      </c>
      <c r="C42" s="8" t="inlineStr">
        <is>
          <t>CJC-1295 + Ipamorelin</t>
        </is>
      </c>
      <c r="D42" s="9" t="n">
        <v>10</v>
      </c>
      <c r="E42" s="8" t="inlineStr">
        <is>
          <t>mg</t>
        </is>
      </c>
      <c r="F42" s="20" t="n">
        <v>50</v>
      </c>
      <c r="G42" s="13">
        <f>BANDAS!$E$31*$D42</f>
        <v/>
      </c>
      <c r="H42" s="13">
        <f>BANDAS!$F$31*$D42</f>
        <v/>
      </c>
      <c r="I42" s="21">
        <f>ROUND(AVERAGE(G42,H42)/1,0)*1</f>
        <v/>
      </c>
      <c r="J42" s="13">
        <f>IF($D42=0,"",I42/$D42)</f>
        <v/>
      </c>
      <c r="K42" s="14">
        <f>IF(F42="","",IF(F42&lt;G42,"POR DEBAJO",IF(F42&gt;H42,"POR ENCIMA","EN MERCADO")))</f>
        <v/>
      </c>
      <c r="L42" s="16" t="inlineStr">
        <is>
          <t>V</t>
        </is>
      </c>
    </row>
    <row r="43">
      <c r="A43" s="8" t="inlineStr">
        <is>
          <t>FITNESS</t>
        </is>
      </c>
      <c r="B43" s="8" t="inlineStr">
        <is>
          <t>CS</t>
        </is>
      </c>
      <c r="C43" s="8" t="inlineStr">
        <is>
          <t>Cagri + Sema</t>
        </is>
      </c>
      <c r="D43" s="9" t="n">
        <v>5</v>
      </c>
      <c r="E43" s="8" t="inlineStr">
        <is>
          <t>mg</t>
        </is>
      </c>
      <c r="F43" s="20" t="n">
        <v>29</v>
      </c>
      <c r="G43" s="13">
        <f>BANDAS!$E$32*$D43</f>
        <v/>
      </c>
      <c r="H43" s="13">
        <f>BANDAS!$F$32*$D43</f>
        <v/>
      </c>
      <c r="I43" s="21">
        <f>ROUND(AVERAGE(G43,H43)/1,0)*1</f>
        <v/>
      </c>
      <c r="J43" s="13">
        <f>IF($D43=0,"",I43/$D43)</f>
        <v/>
      </c>
      <c r="K43" s="14">
        <f>IF(F43="","",IF(F43&lt;G43,"POR DEBAJO",IF(F43&gt;H43,"POR ENCIMA","EN MERCADO")))</f>
        <v/>
      </c>
      <c r="L43" s="15" t="inlineStr">
        <is>
          <t>D</t>
        </is>
      </c>
    </row>
    <row r="44">
      <c r="A44" s="8" t="inlineStr">
        <is>
          <t>FITNESS</t>
        </is>
      </c>
      <c r="B44" s="8" t="inlineStr">
        <is>
          <t>CS</t>
        </is>
      </c>
      <c r="C44" s="8" t="inlineStr">
        <is>
          <t>Cagri + Sema</t>
        </is>
      </c>
      <c r="D44" s="9" t="n">
        <v>10</v>
      </c>
      <c r="E44" s="8" t="inlineStr">
        <is>
          <t>mg</t>
        </is>
      </c>
      <c r="F44" s="20" t="n">
        <v>46</v>
      </c>
      <c r="G44" s="13">
        <f>BANDAS!$E$32*$D44</f>
        <v/>
      </c>
      <c r="H44" s="13">
        <f>BANDAS!$F$32*$D44</f>
        <v/>
      </c>
      <c r="I44" s="21">
        <f>ROUND(AVERAGE(G44,H44)/1,0)*1</f>
        <v/>
      </c>
      <c r="J44" s="13">
        <f>IF($D44=0,"",I44/$D44)</f>
        <v/>
      </c>
      <c r="K44" s="14">
        <f>IF(F44="","",IF(F44&lt;G44,"POR DEBAJO",IF(F44&gt;H44,"POR ENCIMA","EN MERCADO")))</f>
        <v/>
      </c>
      <c r="L44" s="15" t="inlineStr">
        <is>
          <t>D</t>
        </is>
      </c>
    </row>
    <row r="45">
      <c r="A45" s="8" t="inlineStr">
        <is>
          <t>FITNESS</t>
        </is>
      </c>
      <c r="B45" s="8" t="inlineStr">
        <is>
          <t>CGL</t>
        </is>
      </c>
      <c r="C45" s="8" t="inlineStr">
        <is>
          <t>Cagrilintide</t>
        </is>
      </c>
      <c r="D45" s="9" t="n">
        <v>5</v>
      </c>
      <c r="E45" s="8" t="inlineStr">
        <is>
          <t>mg</t>
        </is>
      </c>
      <c r="F45" s="20" t="n">
        <v>33</v>
      </c>
      <c r="G45" s="13">
        <f>BANDAS!$E$33*$D45</f>
        <v/>
      </c>
      <c r="H45" s="13">
        <f>BANDAS!$F$33*$D45</f>
        <v/>
      </c>
      <c r="I45" s="21">
        <f>ROUND(AVERAGE(G45,H45)/1,0)*1</f>
        <v/>
      </c>
      <c r="J45" s="13">
        <f>IF($D45=0,"",I45/$D45)</f>
        <v/>
      </c>
      <c r="K45" s="14">
        <f>IF(F45="","",IF(F45&lt;G45,"POR DEBAJO",IF(F45&gt;H45,"POR ENCIMA","EN MERCADO")))</f>
        <v/>
      </c>
      <c r="L45" s="15" t="inlineStr">
        <is>
          <t>D</t>
        </is>
      </c>
    </row>
    <row r="46">
      <c r="A46" s="8" t="inlineStr">
        <is>
          <t>FITNESS</t>
        </is>
      </c>
      <c r="B46" s="8" t="inlineStr">
        <is>
          <t>CGL</t>
        </is>
      </c>
      <c r="C46" s="8" t="inlineStr">
        <is>
          <t>Cagrilintide</t>
        </is>
      </c>
      <c r="D46" s="9" t="n">
        <v>10</v>
      </c>
      <c r="E46" s="8" t="inlineStr">
        <is>
          <t>mg</t>
        </is>
      </c>
      <c r="F46" s="20" t="n">
        <v>64</v>
      </c>
      <c r="G46" s="13">
        <f>BANDAS!$E$33*$D46</f>
        <v/>
      </c>
      <c r="H46" s="13">
        <f>BANDAS!$F$33*$D46</f>
        <v/>
      </c>
      <c r="I46" s="21">
        <f>ROUND(AVERAGE(G46,H46)/1,0)*1</f>
        <v/>
      </c>
      <c r="J46" s="13">
        <f>IF($D46=0,"",I46/$D46)</f>
        <v/>
      </c>
      <c r="K46" s="14">
        <f>IF(F46="","",IF(F46&lt;G46,"POR DEBAJO",IF(F46&gt;H46,"POR ENCIMA","EN MERCADO")))</f>
        <v/>
      </c>
      <c r="L46" s="15" t="inlineStr">
        <is>
          <t>D</t>
        </is>
      </c>
    </row>
    <row r="47">
      <c r="A47" s="8" t="inlineStr">
        <is>
          <t>FITNESS</t>
        </is>
      </c>
      <c r="B47" s="8" t="inlineStr">
        <is>
          <t>G2</t>
        </is>
      </c>
      <c r="C47" s="8" t="inlineStr">
        <is>
          <t>GHRP-2</t>
        </is>
      </c>
      <c r="D47" s="9" t="n">
        <v>5</v>
      </c>
      <c r="E47" s="8" t="inlineStr">
        <is>
          <t>mg</t>
        </is>
      </c>
      <c r="F47" s="20" t="n">
        <v>20</v>
      </c>
      <c r="G47" s="13">
        <f>BANDAS!$E$34*$D47</f>
        <v/>
      </c>
      <c r="H47" s="13">
        <f>BANDAS!$F$34*$D47</f>
        <v/>
      </c>
      <c r="I47" s="21">
        <f>ROUND(AVERAGE(G47,H47)/1,0)*1</f>
        <v/>
      </c>
      <c r="J47" s="13">
        <f>IF($D47=0,"",I47/$D47)</f>
        <v/>
      </c>
      <c r="K47" s="14">
        <f>IF(F47="","",IF(F47&lt;G47,"POR DEBAJO",IF(F47&gt;H47,"POR ENCIMA","EN MERCADO")))</f>
        <v/>
      </c>
      <c r="L47" s="15" t="inlineStr">
        <is>
          <t>D</t>
        </is>
      </c>
    </row>
    <row r="48">
      <c r="A48" s="8" t="inlineStr">
        <is>
          <t>FITNESS</t>
        </is>
      </c>
      <c r="B48" s="8" t="inlineStr">
        <is>
          <t>G2</t>
        </is>
      </c>
      <c r="C48" s="8" t="inlineStr">
        <is>
          <t>GHRP-2</t>
        </is>
      </c>
      <c r="D48" s="9" t="n">
        <v>10</v>
      </c>
      <c r="E48" s="8" t="inlineStr">
        <is>
          <t>mg</t>
        </is>
      </c>
      <c r="F48" s="20" t="n">
        <v>35</v>
      </c>
      <c r="G48" s="13">
        <f>BANDAS!$E$34*$D48</f>
        <v/>
      </c>
      <c r="H48" s="13">
        <f>BANDAS!$F$34*$D48</f>
        <v/>
      </c>
      <c r="I48" s="21">
        <f>ROUND(AVERAGE(G48,H48)/1,0)*1</f>
        <v/>
      </c>
      <c r="J48" s="13">
        <f>IF($D48=0,"",I48/$D48)</f>
        <v/>
      </c>
      <c r="K48" s="14">
        <f>IF(F48="","",IF(F48&lt;G48,"POR DEBAJO",IF(F48&gt;H48,"POR ENCIMA","EN MERCADO")))</f>
        <v/>
      </c>
      <c r="L48" s="15" t="inlineStr">
        <is>
          <t>D</t>
        </is>
      </c>
    </row>
    <row r="49">
      <c r="A49" s="8" t="inlineStr">
        <is>
          <t>FITNESS</t>
        </is>
      </c>
      <c r="B49" s="8" t="inlineStr">
        <is>
          <t>G6</t>
        </is>
      </c>
      <c r="C49" s="8" t="inlineStr">
        <is>
          <t>GHRP-6</t>
        </is>
      </c>
      <c r="D49" s="9" t="n">
        <v>5</v>
      </c>
      <c r="E49" s="8" t="inlineStr">
        <is>
          <t>mg</t>
        </is>
      </c>
      <c r="F49" s="20" t="n">
        <v>20</v>
      </c>
      <c r="G49" s="13">
        <f>BANDAS!$E$35*$D49</f>
        <v/>
      </c>
      <c r="H49" s="13">
        <f>BANDAS!$F$35*$D49</f>
        <v/>
      </c>
      <c r="I49" s="21">
        <f>ROUND(AVERAGE(G49,H49)/1,0)*1</f>
        <v/>
      </c>
      <c r="J49" s="13">
        <f>IF($D49=0,"",I49/$D49)</f>
        <v/>
      </c>
      <c r="K49" s="14">
        <f>IF(F49="","",IF(F49&lt;G49,"POR DEBAJO",IF(F49&gt;H49,"POR ENCIMA","EN MERCADO")))</f>
        <v/>
      </c>
      <c r="L49" s="15" t="inlineStr">
        <is>
          <t>D</t>
        </is>
      </c>
    </row>
    <row r="50">
      <c r="A50" s="8" t="inlineStr">
        <is>
          <t>FITNESS</t>
        </is>
      </c>
      <c r="B50" s="8" t="inlineStr">
        <is>
          <t>G6</t>
        </is>
      </c>
      <c r="C50" s="8" t="inlineStr">
        <is>
          <t>GHRP-6</t>
        </is>
      </c>
      <c r="D50" s="9" t="n">
        <v>10</v>
      </c>
      <c r="E50" s="8" t="inlineStr">
        <is>
          <t>mg</t>
        </is>
      </c>
      <c r="F50" s="20" t="n">
        <v>35</v>
      </c>
      <c r="G50" s="13">
        <f>BANDAS!$E$35*$D50</f>
        <v/>
      </c>
      <c r="H50" s="13">
        <f>BANDAS!$F$35*$D50</f>
        <v/>
      </c>
      <c r="I50" s="21">
        <f>ROUND(AVERAGE(G50,H50)/1,0)*1</f>
        <v/>
      </c>
      <c r="J50" s="13">
        <f>IF($D50=0,"",I50/$D50)</f>
        <v/>
      </c>
      <c r="K50" s="14">
        <f>IF(F50="","",IF(F50&lt;G50,"POR DEBAJO",IF(F50&gt;H50,"POR ENCIMA","EN MERCADO")))</f>
        <v/>
      </c>
      <c r="L50" s="15" t="inlineStr">
        <is>
          <t>D</t>
        </is>
      </c>
    </row>
    <row r="51">
      <c r="A51" s="8" t="inlineStr">
        <is>
          <t>FITNESS</t>
        </is>
      </c>
      <c r="B51" s="8" t="inlineStr">
        <is>
          <t>H</t>
        </is>
      </c>
      <c r="C51" s="8" t="inlineStr">
        <is>
          <t>HGH 191AA</t>
        </is>
      </c>
      <c r="D51" s="9" t="n">
        <v>10</v>
      </c>
      <c r="E51" s="8" t="inlineStr">
        <is>
          <t>iu</t>
        </is>
      </c>
      <c r="F51" s="20" t="n">
        <v>15</v>
      </c>
      <c r="G51" s="13">
        <f>BANDAS!$E$36*$D51</f>
        <v/>
      </c>
      <c r="H51" s="13">
        <f>BANDAS!$F$36*$D51</f>
        <v/>
      </c>
      <c r="I51" s="21">
        <f>ROUND(AVERAGE(G51,H51)/1,0)*1</f>
        <v/>
      </c>
      <c r="J51" s="13">
        <f>IF($D51=0,"",I51/$D51)</f>
        <v/>
      </c>
      <c r="K51" s="14">
        <f>IF(F51="","",IF(F51&lt;G51,"POR DEBAJO",IF(F51&gt;H51,"POR ENCIMA","EN MERCADO")))</f>
        <v/>
      </c>
      <c r="L51" s="15" t="inlineStr">
        <is>
          <t>D</t>
        </is>
      </c>
    </row>
    <row r="52">
      <c r="A52" s="8" t="inlineStr">
        <is>
          <t>FITNESS</t>
        </is>
      </c>
      <c r="B52" s="8" t="inlineStr">
        <is>
          <t>H</t>
        </is>
      </c>
      <c r="C52" s="8" t="inlineStr">
        <is>
          <t>HGH 191AA</t>
        </is>
      </c>
      <c r="D52" s="9" t="n">
        <v>12</v>
      </c>
      <c r="E52" s="8" t="inlineStr">
        <is>
          <t>iu</t>
        </is>
      </c>
      <c r="F52" s="20" t="n">
        <v>20</v>
      </c>
      <c r="G52" s="13">
        <f>BANDAS!$E$36*$D52</f>
        <v/>
      </c>
      <c r="H52" s="13">
        <f>BANDAS!$F$36*$D52</f>
        <v/>
      </c>
      <c r="I52" s="21">
        <f>ROUND(AVERAGE(G52,H52)/1,0)*1</f>
        <v/>
      </c>
      <c r="J52" s="13">
        <f>IF($D52=0,"",I52/$D52)</f>
        <v/>
      </c>
      <c r="K52" s="14">
        <f>IF(F52="","",IF(F52&lt;G52,"POR DEBAJO",IF(F52&gt;H52,"POR ENCIMA","EN MERCADO")))</f>
        <v/>
      </c>
      <c r="L52" s="15" t="inlineStr">
        <is>
          <t>D</t>
        </is>
      </c>
    </row>
    <row r="53">
      <c r="A53" s="8" t="inlineStr">
        <is>
          <t>FITNESS</t>
        </is>
      </c>
      <c r="B53" s="8" t="inlineStr">
        <is>
          <t>H</t>
        </is>
      </c>
      <c r="C53" s="8" t="inlineStr">
        <is>
          <t>HGH 191AA</t>
        </is>
      </c>
      <c r="D53" s="9" t="n">
        <v>15</v>
      </c>
      <c r="E53" s="8" t="inlineStr">
        <is>
          <t>iu</t>
        </is>
      </c>
      <c r="F53" s="20" t="n">
        <v>30</v>
      </c>
      <c r="G53" s="13">
        <f>BANDAS!$E$36*$D53</f>
        <v/>
      </c>
      <c r="H53" s="13">
        <f>BANDAS!$F$36*$D53</f>
        <v/>
      </c>
      <c r="I53" s="21">
        <f>ROUND(AVERAGE(G53,H53)/1,0)*1</f>
        <v/>
      </c>
      <c r="J53" s="13">
        <f>IF($D53=0,"",I53/$D53)</f>
        <v/>
      </c>
      <c r="K53" s="14">
        <f>IF(F53="","",IF(F53&lt;G53,"POR DEBAJO",IF(F53&gt;H53,"POR ENCIMA","EN MERCADO")))</f>
        <v/>
      </c>
      <c r="L53" s="15" t="inlineStr">
        <is>
          <t>D</t>
        </is>
      </c>
    </row>
    <row r="54">
      <c r="A54" s="8" t="inlineStr">
        <is>
          <t>FITNESS</t>
        </is>
      </c>
      <c r="B54" s="8" t="inlineStr">
        <is>
          <t>H</t>
        </is>
      </c>
      <c r="C54" s="8" t="inlineStr">
        <is>
          <t>HGH 191AA</t>
        </is>
      </c>
      <c r="D54" s="9" t="n">
        <v>24</v>
      </c>
      <c r="E54" s="8" t="inlineStr">
        <is>
          <t>iu</t>
        </is>
      </c>
      <c r="F54" s="20" t="n">
        <v>35</v>
      </c>
      <c r="G54" s="13">
        <f>BANDAS!$E$36*$D54</f>
        <v/>
      </c>
      <c r="H54" s="13">
        <f>BANDAS!$F$36*$D54</f>
        <v/>
      </c>
      <c r="I54" s="21">
        <f>ROUND(AVERAGE(G54,H54)/1,0)*1</f>
        <v/>
      </c>
      <c r="J54" s="13">
        <f>IF($D54=0,"",I54/$D54)</f>
        <v/>
      </c>
      <c r="K54" s="14">
        <f>IF(F54="","",IF(F54&lt;G54,"POR DEBAJO",IF(F54&gt;H54,"POR ENCIMA","EN MERCADO")))</f>
        <v/>
      </c>
      <c r="L54" s="15" t="inlineStr">
        <is>
          <t>D</t>
        </is>
      </c>
    </row>
    <row r="55">
      <c r="A55" s="8" t="inlineStr">
        <is>
          <t>FITNESS</t>
        </is>
      </c>
      <c r="B55" s="8" t="inlineStr">
        <is>
          <t>H</t>
        </is>
      </c>
      <c r="C55" s="8" t="inlineStr">
        <is>
          <t>HGH 191AA</t>
        </is>
      </c>
      <c r="D55" s="9" t="n">
        <v>36</v>
      </c>
      <c r="E55" s="8" t="inlineStr">
        <is>
          <t>iu</t>
        </is>
      </c>
      <c r="F55" s="20" t="n">
        <v>55</v>
      </c>
      <c r="G55" s="13">
        <f>BANDAS!$E$36*$D55</f>
        <v/>
      </c>
      <c r="H55" s="13">
        <f>BANDAS!$F$36*$D55</f>
        <v/>
      </c>
      <c r="I55" s="21">
        <f>ROUND(AVERAGE(G55,H55)/1,0)*1</f>
        <v/>
      </c>
      <c r="J55" s="13">
        <f>IF($D55=0,"",I55/$D55)</f>
        <v/>
      </c>
      <c r="K55" s="14">
        <f>IF(F55="","",IF(F55&lt;G55,"POR DEBAJO",IF(F55&gt;H55,"POR ENCIMA","EN MERCADO")))</f>
        <v/>
      </c>
      <c r="L55" s="15" t="inlineStr">
        <is>
          <t>D</t>
        </is>
      </c>
    </row>
    <row r="56">
      <c r="A56" s="8" t="inlineStr">
        <is>
          <t>FITNESS</t>
        </is>
      </c>
      <c r="B56" s="8" t="inlineStr">
        <is>
          <t>HX</t>
        </is>
      </c>
      <c r="C56" s="8" t="inlineStr">
        <is>
          <t>Hexarelin</t>
        </is>
      </c>
      <c r="D56" s="9" t="n">
        <v>2</v>
      </c>
      <c r="E56" s="8" t="inlineStr">
        <is>
          <t>mg</t>
        </is>
      </c>
      <c r="F56" s="20" t="n">
        <v>15</v>
      </c>
      <c r="G56" s="13">
        <f>BANDAS!$E$37*$D56</f>
        <v/>
      </c>
      <c r="H56" s="13">
        <f>BANDAS!$F$37*$D56</f>
        <v/>
      </c>
      <c r="I56" s="21">
        <f>ROUND(AVERAGE(G56,H56)/1,0)*1</f>
        <v/>
      </c>
      <c r="J56" s="13">
        <f>IF($D56=0,"",I56/$D56)</f>
        <v/>
      </c>
      <c r="K56" s="14">
        <f>IF(F56="","",IF(F56&lt;G56,"POR DEBAJO",IF(F56&gt;H56,"POR ENCIMA","EN MERCADO")))</f>
        <v/>
      </c>
      <c r="L56" s="15" t="inlineStr">
        <is>
          <t>D</t>
        </is>
      </c>
    </row>
    <row r="57">
      <c r="A57" s="8" t="inlineStr">
        <is>
          <t>FITNESS</t>
        </is>
      </c>
      <c r="B57" s="8" t="inlineStr">
        <is>
          <t>HX</t>
        </is>
      </c>
      <c r="C57" s="8" t="inlineStr">
        <is>
          <t>Hexarelin</t>
        </is>
      </c>
      <c r="D57" s="9" t="n">
        <v>5</v>
      </c>
      <c r="E57" s="8" t="inlineStr">
        <is>
          <t>mg</t>
        </is>
      </c>
      <c r="F57" s="20" t="n">
        <v>35</v>
      </c>
      <c r="G57" s="13">
        <f>BANDAS!$E$37*$D57</f>
        <v/>
      </c>
      <c r="H57" s="13">
        <f>BANDAS!$F$37*$D57</f>
        <v/>
      </c>
      <c r="I57" s="21">
        <f>ROUND(AVERAGE(G57,H57)/1,0)*1</f>
        <v/>
      </c>
      <c r="J57" s="13">
        <f>IF($D57=0,"",I57/$D57)</f>
        <v/>
      </c>
      <c r="K57" s="14">
        <f>IF(F57="","",IF(F57&lt;G57,"POR DEBAJO",IF(F57&gt;H57,"POR ENCIMA","EN MERCADO")))</f>
        <v/>
      </c>
      <c r="L57" s="15" t="inlineStr">
        <is>
          <t>D</t>
        </is>
      </c>
    </row>
    <row r="58">
      <c r="A58" s="8" t="inlineStr">
        <is>
          <t>FITNESS</t>
        </is>
      </c>
      <c r="B58" s="8" t="inlineStr">
        <is>
          <t>IG</t>
        </is>
      </c>
      <c r="C58" s="8" t="inlineStr">
        <is>
          <t>IGF-1 LR3</t>
        </is>
      </c>
      <c r="D58" s="9" t="n">
        <v>0.1</v>
      </c>
      <c r="E58" s="8" t="inlineStr">
        <is>
          <t>mg</t>
        </is>
      </c>
      <c r="F58" s="20" t="n">
        <v>10</v>
      </c>
      <c r="G58" s="13">
        <f>BANDAS!$E$38*$D58</f>
        <v/>
      </c>
      <c r="H58" s="13">
        <f>BANDAS!$F$38*$D58</f>
        <v/>
      </c>
      <c r="I58" s="21">
        <f>ROUND(AVERAGE(G58,H58)/1,0)*1</f>
        <v/>
      </c>
      <c r="J58" s="13">
        <f>IF($D58=0,"",I58/$D58)</f>
        <v/>
      </c>
      <c r="K58" s="14">
        <f>IF(F58="","",IF(F58&lt;G58,"POR DEBAJO",IF(F58&gt;H58,"POR ENCIMA","EN MERCADO")))</f>
        <v/>
      </c>
      <c r="L58" s="15" t="inlineStr">
        <is>
          <t>D</t>
        </is>
      </c>
    </row>
    <row r="59">
      <c r="A59" s="8" t="inlineStr">
        <is>
          <t>FITNESS</t>
        </is>
      </c>
      <c r="B59" s="8" t="inlineStr">
        <is>
          <t>IG</t>
        </is>
      </c>
      <c r="C59" s="8" t="inlineStr">
        <is>
          <t>IGF-1 LR3</t>
        </is>
      </c>
      <c r="D59" s="9" t="n">
        <v>1</v>
      </c>
      <c r="E59" s="8" t="inlineStr">
        <is>
          <t>mg</t>
        </is>
      </c>
      <c r="F59" s="20" t="n">
        <v>51</v>
      </c>
      <c r="G59" s="13">
        <f>BANDAS!$E$38*$D59</f>
        <v/>
      </c>
      <c r="H59" s="13">
        <f>BANDAS!$F$38*$D59</f>
        <v/>
      </c>
      <c r="I59" s="21">
        <f>ROUND(AVERAGE(G59,H59)/1,0)*1</f>
        <v/>
      </c>
      <c r="J59" s="13">
        <f>IF($D59=0,"",I59/$D59)</f>
        <v/>
      </c>
      <c r="K59" s="14">
        <f>IF(F59="","",IF(F59&lt;G59,"POR DEBAJO",IF(F59&gt;H59,"POR ENCIMA","EN MERCADO")))</f>
        <v/>
      </c>
      <c r="L59" s="15" t="inlineStr">
        <is>
          <t>D</t>
        </is>
      </c>
    </row>
    <row r="60">
      <c r="A60" s="8" t="inlineStr">
        <is>
          <t>FITNESS</t>
        </is>
      </c>
      <c r="B60" s="8" t="inlineStr">
        <is>
          <t>IPA</t>
        </is>
      </c>
      <c r="C60" s="8" t="inlineStr">
        <is>
          <t>Ipamorelin</t>
        </is>
      </c>
      <c r="D60" s="9" t="n">
        <v>5</v>
      </c>
      <c r="E60" s="8" t="inlineStr">
        <is>
          <t>mg</t>
        </is>
      </c>
      <c r="F60" s="20" t="n">
        <v>20</v>
      </c>
      <c r="G60" s="13">
        <f>BANDAS!$E$39*$D60</f>
        <v/>
      </c>
      <c r="H60" s="13">
        <f>BANDAS!$F$39*$D60</f>
        <v/>
      </c>
      <c r="I60" s="21">
        <f>ROUND(AVERAGE(G60,H60)/1,0)*1</f>
        <v/>
      </c>
      <c r="J60" s="13">
        <f>IF($D60=0,"",I60/$D60)</f>
        <v/>
      </c>
      <c r="K60" s="14">
        <f>IF(F60="","",IF(F60&lt;G60,"POR DEBAJO",IF(F60&gt;H60,"POR ENCIMA","EN MERCADO")))</f>
        <v/>
      </c>
      <c r="L60" s="15" t="inlineStr">
        <is>
          <t>D</t>
        </is>
      </c>
    </row>
    <row r="61">
      <c r="A61" s="8" t="inlineStr">
        <is>
          <t>FITNESS</t>
        </is>
      </c>
      <c r="B61" s="8" t="inlineStr">
        <is>
          <t>IPA</t>
        </is>
      </c>
      <c r="C61" s="8" t="inlineStr">
        <is>
          <t>Ipamorelin</t>
        </is>
      </c>
      <c r="D61" s="9" t="n">
        <v>10</v>
      </c>
      <c r="E61" s="8" t="inlineStr">
        <is>
          <t>mg</t>
        </is>
      </c>
      <c r="F61" s="20" t="n">
        <v>40</v>
      </c>
      <c r="G61" s="13">
        <f>BANDAS!$E$39*$D61</f>
        <v/>
      </c>
      <c r="H61" s="13">
        <f>BANDAS!$F$39*$D61</f>
        <v/>
      </c>
      <c r="I61" s="21">
        <f>ROUND(AVERAGE(G61,H61)/1,0)*1</f>
        <v/>
      </c>
      <c r="J61" s="13">
        <f>IF($D61=0,"",I61/$D61)</f>
        <v/>
      </c>
      <c r="K61" s="14">
        <f>IF(F61="","",IF(F61&lt;G61,"POR DEBAJO",IF(F61&gt;H61,"POR ENCIMA","EN MERCADO")))</f>
        <v/>
      </c>
      <c r="L61" s="15" t="inlineStr">
        <is>
          <t>D</t>
        </is>
      </c>
    </row>
    <row r="62">
      <c r="A62" s="8" t="inlineStr">
        <is>
          <t>FITNESS</t>
        </is>
      </c>
      <c r="B62" s="8" t="inlineStr">
        <is>
          <t>LC</t>
        </is>
      </c>
      <c r="C62" s="8" t="inlineStr">
        <is>
          <t>L-Carnitine</t>
        </is>
      </c>
      <c r="D62" s="9" t="n">
        <v>600</v>
      </c>
      <c r="E62" s="8" t="inlineStr">
        <is>
          <t>mg</t>
        </is>
      </c>
      <c r="F62" s="20" t="n">
        <v>30</v>
      </c>
      <c r="G62" s="13">
        <f>BANDAS!$E$40*$D62</f>
        <v/>
      </c>
      <c r="H62" s="13">
        <f>BANDAS!$F$40*$D62</f>
        <v/>
      </c>
      <c r="I62" s="21">
        <f>ROUND(AVERAGE(G62,H62)/1,0)*1</f>
        <v/>
      </c>
      <c r="J62" s="13">
        <f>IF($D62=0,"",I62/$D62)</f>
        <v/>
      </c>
      <c r="K62" s="14">
        <f>IF(F62="","",IF(F62&lt;G62,"POR DEBAJO",IF(F62&gt;H62,"POR ENCIMA","EN MERCADO")))</f>
        <v/>
      </c>
      <c r="L62" s="15" t="inlineStr">
        <is>
          <t>D</t>
        </is>
      </c>
    </row>
    <row r="63">
      <c r="A63" s="8" t="inlineStr">
        <is>
          <t>FITNESS</t>
        </is>
      </c>
      <c r="B63" s="8" t="inlineStr">
        <is>
          <t>LC</t>
        </is>
      </c>
      <c r="C63" s="8" t="inlineStr">
        <is>
          <t>L-Carnitine</t>
        </is>
      </c>
      <c r="D63" s="9" t="n">
        <v>1200</v>
      </c>
      <c r="E63" s="8" t="inlineStr">
        <is>
          <t>mg</t>
        </is>
      </c>
      <c r="F63" s="20" t="n">
        <v>55</v>
      </c>
      <c r="G63" s="13">
        <f>BANDAS!$E$40*$D63</f>
        <v/>
      </c>
      <c r="H63" s="13">
        <f>BANDAS!$F$40*$D63</f>
        <v/>
      </c>
      <c r="I63" s="21">
        <f>ROUND(AVERAGE(G63,H63)/1,0)*1</f>
        <v/>
      </c>
      <c r="J63" s="13">
        <f>IF($D63=0,"",I63/$D63)</f>
        <v/>
      </c>
      <c r="K63" s="14">
        <f>IF(F63="","",IF(F63&lt;G63,"POR DEBAJO",IF(F63&gt;H63,"POR ENCIMA","EN MERCADO")))</f>
        <v/>
      </c>
      <c r="L63" s="15" t="inlineStr">
        <is>
          <t>D</t>
        </is>
      </c>
    </row>
    <row r="64">
      <c r="A64" s="8" t="inlineStr">
        <is>
          <t>FITNESS</t>
        </is>
      </c>
      <c r="B64" s="8" t="inlineStr">
        <is>
          <t>MIC</t>
        </is>
      </c>
      <c r="C64" s="8" t="inlineStr">
        <is>
          <t>Lipo-C + B12</t>
        </is>
      </c>
      <c r="D64" s="9" t="n">
        <v>10</v>
      </c>
      <c r="E64" s="8" t="inlineStr">
        <is>
          <t>ml</t>
        </is>
      </c>
      <c r="F64" s="20" t="n">
        <v>280</v>
      </c>
      <c r="G64" s="13">
        <f>BANDAS!$E$41*$D64</f>
        <v/>
      </c>
      <c r="H64" s="13">
        <f>BANDAS!$F$41*$D64</f>
        <v/>
      </c>
      <c r="I64" s="21">
        <f>ROUND(AVERAGE(G64,H64)/1,0)*1</f>
        <v/>
      </c>
      <c r="J64" s="13">
        <f>IF($D64=0,"",I64/$D64)</f>
        <v/>
      </c>
      <c r="K64" s="14">
        <f>IF(F64="","",IF(F64&lt;G64,"POR DEBAJO",IF(F64&gt;H64,"POR ENCIMA","EN MERCADO")))</f>
        <v/>
      </c>
      <c r="L64" s="15" t="inlineStr">
        <is>
          <t>D</t>
        </is>
      </c>
    </row>
    <row r="65">
      <c r="A65" s="8" t="inlineStr">
        <is>
          <t>FITNESS</t>
        </is>
      </c>
      <c r="B65" s="8" t="inlineStr">
        <is>
          <t>MS</t>
        </is>
      </c>
      <c r="C65" s="8" t="inlineStr">
        <is>
          <t>MOTS-c</t>
        </is>
      </c>
      <c r="D65" s="9" t="n">
        <v>10</v>
      </c>
      <c r="E65" s="8" t="inlineStr">
        <is>
          <t>mg</t>
        </is>
      </c>
      <c r="F65" s="20" t="n">
        <v>35</v>
      </c>
      <c r="G65" s="13">
        <f>BANDAS!$E$42*$D65</f>
        <v/>
      </c>
      <c r="H65" s="13">
        <f>BANDAS!$F$42*$D65</f>
        <v/>
      </c>
      <c r="I65" s="21">
        <f>ROUND(AVERAGE(G65,H65)/1,0)*1</f>
        <v/>
      </c>
      <c r="J65" s="13">
        <f>IF($D65=0,"",I65/$D65)</f>
        <v/>
      </c>
      <c r="K65" s="14">
        <f>IF(F65="","",IF(F65&lt;G65,"POR DEBAJO",IF(F65&gt;H65,"POR ENCIMA","EN MERCADO")))</f>
        <v/>
      </c>
      <c r="L65" s="15" t="inlineStr">
        <is>
          <t>D</t>
        </is>
      </c>
    </row>
    <row r="66">
      <c r="A66" s="8" t="inlineStr">
        <is>
          <t>FITNESS</t>
        </is>
      </c>
      <c r="B66" s="8" t="inlineStr">
        <is>
          <t>MS</t>
        </is>
      </c>
      <c r="C66" s="8" t="inlineStr">
        <is>
          <t>MOTS-c</t>
        </is>
      </c>
      <c r="D66" s="9" t="n">
        <v>20</v>
      </c>
      <c r="E66" s="8" t="inlineStr">
        <is>
          <t>mg</t>
        </is>
      </c>
      <c r="F66" s="20" t="n">
        <v>65</v>
      </c>
      <c r="G66" s="13">
        <f>BANDAS!$E$42*$D66</f>
        <v/>
      </c>
      <c r="H66" s="13">
        <f>BANDAS!$F$42*$D66</f>
        <v/>
      </c>
      <c r="I66" s="21">
        <f>ROUND(AVERAGE(G66,H66)/1,0)*1</f>
        <v/>
      </c>
      <c r="J66" s="13">
        <f>IF($D66=0,"",I66/$D66)</f>
        <v/>
      </c>
      <c r="K66" s="14">
        <f>IF(F66="","",IF(F66&lt;G66,"POR DEBAJO",IF(F66&gt;H66,"POR ENCIMA","EN MERCADO")))</f>
        <v/>
      </c>
      <c r="L66" s="15" t="inlineStr">
        <is>
          <t>D</t>
        </is>
      </c>
    </row>
    <row r="67">
      <c r="A67" s="8" t="inlineStr">
        <is>
          <t>FITNESS</t>
        </is>
      </c>
      <c r="B67" s="8" t="inlineStr">
        <is>
          <t>MS</t>
        </is>
      </c>
      <c r="C67" s="8" t="inlineStr">
        <is>
          <t>MOTS-c</t>
        </is>
      </c>
      <c r="D67" s="9" t="n">
        <v>40</v>
      </c>
      <c r="E67" s="8" t="inlineStr">
        <is>
          <t>mg</t>
        </is>
      </c>
      <c r="F67" s="20" t="n">
        <v>130</v>
      </c>
      <c r="G67" s="13">
        <f>BANDAS!$E$42*$D67</f>
        <v/>
      </c>
      <c r="H67" s="13">
        <f>BANDAS!$F$42*$D67</f>
        <v/>
      </c>
      <c r="I67" s="21">
        <f>ROUND(AVERAGE(G67,H67)/1,0)*1</f>
        <v/>
      </c>
      <c r="J67" s="13">
        <f>IF($D67=0,"",I67/$D67)</f>
        <v/>
      </c>
      <c r="K67" s="14">
        <f>IF(F67="","",IF(F67&lt;G67,"POR DEBAJO",IF(F67&gt;H67,"POR ENCIMA","EN MERCADO")))</f>
        <v/>
      </c>
      <c r="L67" s="15" t="inlineStr">
        <is>
          <t>D</t>
        </is>
      </c>
    </row>
    <row r="68">
      <c r="A68" s="8" t="inlineStr">
        <is>
          <t>FITNESS</t>
        </is>
      </c>
      <c r="B68" s="8" t="inlineStr">
        <is>
          <t>MZ</t>
        </is>
      </c>
      <c r="C68" s="8" t="inlineStr">
        <is>
          <t>Mazdutide</t>
        </is>
      </c>
      <c r="D68" s="9" t="n">
        <v>5</v>
      </c>
      <c r="E68" s="8" t="inlineStr">
        <is>
          <t>mg</t>
        </is>
      </c>
      <c r="F68" s="20" t="n">
        <v>28</v>
      </c>
      <c r="G68" s="13">
        <f>BANDAS!$E$43*$D68</f>
        <v/>
      </c>
      <c r="H68" s="13">
        <f>BANDAS!$F$43*$D68</f>
        <v/>
      </c>
      <c r="I68" s="21">
        <f>ROUND(AVERAGE(G68,H68)/1,0)*1</f>
        <v/>
      </c>
      <c r="J68" s="13">
        <f>IF($D68=0,"",I68/$D68)</f>
        <v/>
      </c>
      <c r="K68" s="14">
        <f>IF(F68="","",IF(F68&lt;G68,"POR DEBAJO",IF(F68&gt;H68,"POR ENCIMA","EN MERCADO")))</f>
        <v/>
      </c>
      <c r="L68" s="15" t="inlineStr">
        <is>
          <t>D</t>
        </is>
      </c>
    </row>
    <row r="69">
      <c r="A69" s="8" t="inlineStr">
        <is>
          <t>FITNESS</t>
        </is>
      </c>
      <c r="B69" s="8" t="inlineStr">
        <is>
          <t>MZ</t>
        </is>
      </c>
      <c r="C69" s="8" t="inlineStr">
        <is>
          <t>Mazdutide</t>
        </is>
      </c>
      <c r="D69" s="9" t="n">
        <v>10</v>
      </c>
      <c r="E69" s="8" t="inlineStr">
        <is>
          <t>mg</t>
        </is>
      </c>
      <c r="F69" s="20" t="n">
        <v>52</v>
      </c>
      <c r="G69" s="13">
        <f>BANDAS!$E$43*$D69</f>
        <v/>
      </c>
      <c r="H69" s="13">
        <f>BANDAS!$F$43*$D69</f>
        <v/>
      </c>
      <c r="I69" s="21">
        <f>ROUND(AVERAGE(G69,H69)/1,0)*1</f>
        <v/>
      </c>
      <c r="J69" s="13">
        <f>IF($D69=0,"",I69/$D69)</f>
        <v/>
      </c>
      <c r="K69" s="14">
        <f>IF(F69="","",IF(F69&lt;G69,"POR DEBAJO",IF(F69&gt;H69,"POR ENCIMA","EN MERCADO")))</f>
        <v/>
      </c>
      <c r="L69" s="15" t="inlineStr">
        <is>
          <t>D</t>
        </is>
      </c>
    </row>
    <row r="70">
      <c r="A70" s="8" t="inlineStr">
        <is>
          <t>FITNESS</t>
        </is>
      </c>
      <c r="B70" s="8" t="inlineStr">
        <is>
          <t>RT</t>
        </is>
      </c>
      <c r="C70" s="8" t="inlineStr">
        <is>
          <t>Retatrutide</t>
        </is>
      </c>
      <c r="D70" s="9" t="n">
        <v>5</v>
      </c>
      <c r="E70" s="8" t="inlineStr">
        <is>
          <t>mg</t>
        </is>
      </c>
      <c r="F70" s="20" t="n">
        <v>35</v>
      </c>
      <c r="G70" s="13">
        <f>BANDAS!$E$44*$D70</f>
        <v/>
      </c>
      <c r="H70" s="13">
        <f>BANDAS!$F$44*$D70</f>
        <v/>
      </c>
      <c r="I70" s="21">
        <f>ROUND(AVERAGE(G70,H70)/1,0)*1</f>
        <v/>
      </c>
      <c r="J70" s="13">
        <f>IF($D70=0,"",I70/$D70)</f>
        <v/>
      </c>
      <c r="K70" s="14">
        <f>IF(F70="","",IF(F70&lt;G70,"POR DEBAJO",IF(F70&gt;H70,"POR ENCIMA","EN MERCADO")))</f>
        <v/>
      </c>
      <c r="L70" s="16" t="inlineStr">
        <is>
          <t>V</t>
        </is>
      </c>
    </row>
    <row r="71">
      <c r="A71" s="8" t="inlineStr">
        <is>
          <t>FITNESS</t>
        </is>
      </c>
      <c r="B71" s="8" t="inlineStr">
        <is>
          <t>RT</t>
        </is>
      </c>
      <c r="C71" s="8" t="inlineStr">
        <is>
          <t>Retatrutide</t>
        </is>
      </c>
      <c r="D71" s="9" t="n">
        <v>10</v>
      </c>
      <c r="E71" s="8" t="inlineStr">
        <is>
          <t>mg</t>
        </is>
      </c>
      <c r="F71" s="20" t="n">
        <v>65</v>
      </c>
      <c r="G71" s="13">
        <f>BANDAS!$E$44*$D71</f>
        <v/>
      </c>
      <c r="H71" s="13">
        <f>BANDAS!$F$44*$D71</f>
        <v/>
      </c>
      <c r="I71" s="21">
        <f>ROUND(AVERAGE(G71,H71)/1,0)*1</f>
        <v/>
      </c>
      <c r="J71" s="13">
        <f>IF($D71=0,"",I71/$D71)</f>
        <v/>
      </c>
      <c r="K71" s="14">
        <f>IF(F71="","",IF(F71&lt;G71,"POR DEBAJO",IF(F71&gt;H71,"POR ENCIMA","EN MERCADO")))</f>
        <v/>
      </c>
      <c r="L71" s="16" t="inlineStr">
        <is>
          <t>V</t>
        </is>
      </c>
    </row>
    <row r="72">
      <c r="A72" s="8" t="inlineStr">
        <is>
          <t>FITNESS</t>
        </is>
      </c>
      <c r="B72" s="8" t="inlineStr">
        <is>
          <t>RT</t>
        </is>
      </c>
      <c r="C72" s="8" t="inlineStr">
        <is>
          <t>Retatrutide</t>
        </is>
      </c>
      <c r="D72" s="9" t="n">
        <v>15</v>
      </c>
      <c r="E72" s="8" t="inlineStr">
        <is>
          <t>mg</t>
        </is>
      </c>
      <c r="F72" s="20" t="n">
        <v>100</v>
      </c>
      <c r="G72" s="13">
        <f>BANDAS!$E$44*$D72</f>
        <v/>
      </c>
      <c r="H72" s="13">
        <f>BANDAS!$F$44*$D72</f>
        <v/>
      </c>
      <c r="I72" s="21">
        <f>ROUND(AVERAGE(G72,H72)/1,0)*1</f>
        <v/>
      </c>
      <c r="J72" s="13">
        <f>IF($D72=0,"",I72/$D72)</f>
        <v/>
      </c>
      <c r="K72" s="14">
        <f>IF(F72="","",IF(F72&lt;G72,"POR DEBAJO",IF(F72&gt;H72,"POR ENCIMA","EN MERCADO")))</f>
        <v/>
      </c>
      <c r="L72" s="16" t="inlineStr">
        <is>
          <t>V</t>
        </is>
      </c>
    </row>
    <row r="73">
      <c r="A73" s="8" t="inlineStr">
        <is>
          <t>FITNESS</t>
        </is>
      </c>
      <c r="B73" s="8" t="inlineStr">
        <is>
          <t>RT</t>
        </is>
      </c>
      <c r="C73" s="8" t="inlineStr">
        <is>
          <t>Retatrutide</t>
        </is>
      </c>
      <c r="D73" s="9" t="n">
        <v>20</v>
      </c>
      <c r="E73" s="8" t="inlineStr">
        <is>
          <t>mg</t>
        </is>
      </c>
      <c r="F73" s="20" t="n">
        <v>130</v>
      </c>
      <c r="G73" s="13">
        <f>BANDAS!$E$44*$D73</f>
        <v/>
      </c>
      <c r="H73" s="13">
        <f>BANDAS!$F$44*$D73</f>
        <v/>
      </c>
      <c r="I73" s="21">
        <f>ROUND(AVERAGE(G73,H73)/1,0)*1</f>
        <v/>
      </c>
      <c r="J73" s="13">
        <f>IF($D73=0,"",I73/$D73)</f>
        <v/>
      </c>
      <c r="K73" s="14">
        <f>IF(F73="","",IF(F73&lt;G73,"POR DEBAJO",IF(F73&gt;H73,"POR ENCIMA","EN MERCADO")))</f>
        <v/>
      </c>
      <c r="L73" s="16" t="inlineStr">
        <is>
          <t>V</t>
        </is>
      </c>
    </row>
    <row r="74">
      <c r="A74" s="8" t="inlineStr">
        <is>
          <t>FITNESS</t>
        </is>
      </c>
      <c r="B74" s="8" t="inlineStr">
        <is>
          <t>RT</t>
        </is>
      </c>
      <c r="C74" s="8" t="inlineStr">
        <is>
          <t>Retatrutide</t>
        </is>
      </c>
      <c r="D74" s="9" t="n">
        <v>30</v>
      </c>
      <c r="E74" s="8" t="inlineStr">
        <is>
          <t>mg</t>
        </is>
      </c>
      <c r="F74" s="20" t="n">
        <v>195</v>
      </c>
      <c r="G74" s="13">
        <f>BANDAS!$E$44*$D74</f>
        <v/>
      </c>
      <c r="H74" s="13">
        <f>BANDAS!$F$44*$D74</f>
        <v/>
      </c>
      <c r="I74" s="21">
        <f>ROUND(AVERAGE(G74,H74)/1,0)*1</f>
        <v/>
      </c>
      <c r="J74" s="13">
        <f>IF($D74=0,"",I74/$D74)</f>
        <v/>
      </c>
      <c r="K74" s="14">
        <f>IF(F74="","",IF(F74&lt;G74,"POR DEBAJO",IF(F74&gt;H74,"POR ENCIMA","EN MERCADO")))</f>
        <v/>
      </c>
      <c r="L74" s="16" t="inlineStr">
        <is>
          <t>V</t>
        </is>
      </c>
    </row>
    <row r="75">
      <c r="A75" s="8" t="inlineStr">
        <is>
          <t>FITNESS</t>
        </is>
      </c>
      <c r="B75" s="8" t="inlineStr">
        <is>
          <t>RT</t>
        </is>
      </c>
      <c r="C75" s="8" t="inlineStr">
        <is>
          <t>Retatrutide</t>
        </is>
      </c>
      <c r="D75" s="9" t="n">
        <v>40</v>
      </c>
      <c r="E75" s="8" t="inlineStr">
        <is>
          <t>mg</t>
        </is>
      </c>
      <c r="F75" s="20" t="n">
        <v>260</v>
      </c>
      <c r="G75" s="13">
        <f>BANDAS!$E$44*$D75</f>
        <v/>
      </c>
      <c r="H75" s="13">
        <f>BANDAS!$F$44*$D75</f>
        <v/>
      </c>
      <c r="I75" s="21">
        <f>ROUND(AVERAGE(G75,H75)/1,0)*1</f>
        <v/>
      </c>
      <c r="J75" s="13">
        <f>IF($D75=0,"",I75/$D75)</f>
        <v/>
      </c>
      <c r="K75" s="14">
        <f>IF(F75="","",IF(F75&lt;G75,"POR DEBAJO",IF(F75&gt;H75,"POR ENCIMA","EN MERCADO")))</f>
        <v/>
      </c>
      <c r="L75" s="16" t="inlineStr">
        <is>
          <t>V</t>
        </is>
      </c>
    </row>
    <row r="76">
      <c r="A76" s="8" t="inlineStr">
        <is>
          <t>FITNESS</t>
        </is>
      </c>
      <c r="B76" s="8" t="inlineStr">
        <is>
          <t>RT</t>
        </is>
      </c>
      <c r="C76" s="8" t="inlineStr">
        <is>
          <t>Retatrutide</t>
        </is>
      </c>
      <c r="D76" s="9" t="n">
        <v>50</v>
      </c>
      <c r="E76" s="8" t="inlineStr">
        <is>
          <t>mg</t>
        </is>
      </c>
      <c r="F76" s="20" t="n">
        <v>325</v>
      </c>
      <c r="G76" s="13">
        <f>BANDAS!$E$44*$D76</f>
        <v/>
      </c>
      <c r="H76" s="13">
        <f>BANDAS!$F$44*$D76</f>
        <v/>
      </c>
      <c r="I76" s="21">
        <f>ROUND(AVERAGE(G76,H76)/1,0)*1</f>
        <v/>
      </c>
      <c r="J76" s="13">
        <f>IF($D76=0,"",I76/$D76)</f>
        <v/>
      </c>
      <c r="K76" s="14">
        <f>IF(F76="","",IF(F76&lt;G76,"POR DEBAJO",IF(F76&gt;H76,"POR ENCIMA","EN MERCADO")))</f>
        <v/>
      </c>
      <c r="L76" s="16" t="inlineStr">
        <is>
          <t>V</t>
        </is>
      </c>
    </row>
    <row r="77">
      <c r="A77" s="8" t="inlineStr">
        <is>
          <t>FITNESS</t>
        </is>
      </c>
      <c r="B77" s="8" t="inlineStr">
        <is>
          <t>RT</t>
        </is>
      </c>
      <c r="C77" s="8" t="inlineStr">
        <is>
          <t>Retatrutide</t>
        </is>
      </c>
      <c r="D77" s="9" t="n">
        <v>60</v>
      </c>
      <c r="E77" s="8" t="inlineStr">
        <is>
          <t>mg</t>
        </is>
      </c>
      <c r="F77" s="20" t="n">
        <v>390</v>
      </c>
      <c r="G77" s="13">
        <f>BANDAS!$E$44*$D77</f>
        <v/>
      </c>
      <c r="H77" s="13">
        <f>BANDAS!$F$44*$D77</f>
        <v/>
      </c>
      <c r="I77" s="21">
        <f>ROUND(AVERAGE(G77,H77)/1,0)*1</f>
        <v/>
      </c>
      <c r="J77" s="13">
        <f>IF($D77=0,"",I77/$D77)</f>
        <v/>
      </c>
      <c r="K77" s="14">
        <f>IF(F77="","",IF(F77&lt;G77,"POR DEBAJO",IF(F77&gt;H77,"POR ENCIMA","EN MERCADO")))</f>
        <v/>
      </c>
      <c r="L77" s="16" t="inlineStr">
        <is>
          <t>V</t>
        </is>
      </c>
    </row>
    <row r="78">
      <c r="A78" s="8" t="inlineStr">
        <is>
          <t>FITNESS</t>
        </is>
      </c>
      <c r="B78" s="8" t="inlineStr">
        <is>
          <t>2S</t>
        </is>
      </c>
      <c r="C78" s="8" t="inlineStr">
        <is>
          <t>SS-31</t>
        </is>
      </c>
      <c r="D78" s="9" t="n">
        <v>10</v>
      </c>
      <c r="E78" s="8" t="inlineStr">
        <is>
          <t>mg</t>
        </is>
      </c>
      <c r="F78" s="20" t="n">
        <v>40</v>
      </c>
      <c r="G78" s="13">
        <f>BANDAS!$E$45*$D78</f>
        <v/>
      </c>
      <c r="H78" s="13">
        <f>BANDAS!$F$45*$D78</f>
        <v/>
      </c>
      <c r="I78" s="21">
        <f>ROUND(AVERAGE(G78,H78)/1,0)*1</f>
        <v/>
      </c>
      <c r="J78" s="13">
        <f>IF($D78=0,"",I78/$D78)</f>
        <v/>
      </c>
      <c r="K78" s="14">
        <f>IF(F78="","",IF(F78&lt;G78,"POR DEBAJO",IF(F78&gt;H78,"POR ENCIMA","EN MERCADO")))</f>
        <v/>
      </c>
      <c r="L78" s="15" t="inlineStr">
        <is>
          <t>D</t>
        </is>
      </c>
    </row>
    <row r="79">
      <c r="A79" s="8" t="inlineStr">
        <is>
          <t>FITNESS</t>
        </is>
      </c>
      <c r="B79" s="8" t="inlineStr">
        <is>
          <t>2S</t>
        </is>
      </c>
      <c r="C79" s="8" t="inlineStr">
        <is>
          <t>SS-31</t>
        </is>
      </c>
      <c r="D79" s="9" t="n">
        <v>50</v>
      </c>
      <c r="E79" s="8" t="inlineStr">
        <is>
          <t>mg</t>
        </is>
      </c>
      <c r="F79" s="20" t="n">
        <v>210</v>
      </c>
      <c r="G79" s="13">
        <f>BANDAS!$E$45*$D79</f>
        <v/>
      </c>
      <c r="H79" s="13">
        <f>BANDAS!$F$45*$D79</f>
        <v/>
      </c>
      <c r="I79" s="21">
        <f>ROUND(AVERAGE(G79,H79)/1,0)*1</f>
        <v/>
      </c>
      <c r="J79" s="13">
        <f>IF($D79=0,"",I79/$D79)</f>
        <v/>
      </c>
      <c r="K79" s="14">
        <f>IF(F79="","",IF(F79&lt;G79,"POR DEBAJO",IF(F79&gt;H79,"POR ENCIMA","EN MERCADO")))</f>
        <v/>
      </c>
      <c r="L79" s="15" t="inlineStr">
        <is>
          <t>D</t>
        </is>
      </c>
    </row>
    <row r="80">
      <c r="A80" s="8" t="inlineStr">
        <is>
          <t>FITNESS</t>
        </is>
      </c>
      <c r="B80" s="8" t="inlineStr">
        <is>
          <t>SM</t>
        </is>
      </c>
      <c r="C80" s="8" t="inlineStr">
        <is>
          <t>Semaglutide</t>
        </is>
      </c>
      <c r="D80" s="9" t="n">
        <v>5</v>
      </c>
      <c r="E80" s="8" t="inlineStr">
        <is>
          <t>mg</t>
        </is>
      </c>
      <c r="F80" s="20" t="n">
        <v>20</v>
      </c>
      <c r="G80" s="13">
        <f>BANDAS!$E$46*$D80</f>
        <v/>
      </c>
      <c r="H80" s="13">
        <f>BANDAS!$F$46*$D80</f>
        <v/>
      </c>
      <c r="I80" s="21">
        <f>ROUND(AVERAGE(G80,H80)/1,0)*1</f>
        <v/>
      </c>
      <c r="J80" s="13">
        <f>IF($D80=0,"",I80/$D80)</f>
        <v/>
      </c>
      <c r="K80" s="14">
        <f>IF(F80="","",IF(F80&lt;G80,"POR DEBAJO",IF(F80&gt;H80,"POR ENCIMA","EN MERCADO")))</f>
        <v/>
      </c>
      <c r="L80" s="16" t="inlineStr">
        <is>
          <t>V</t>
        </is>
      </c>
    </row>
    <row r="81">
      <c r="A81" s="8" t="inlineStr">
        <is>
          <t>FITNESS</t>
        </is>
      </c>
      <c r="B81" s="8" t="inlineStr">
        <is>
          <t>SM</t>
        </is>
      </c>
      <c r="C81" s="8" t="inlineStr">
        <is>
          <t>Semaglutide</t>
        </is>
      </c>
      <c r="D81" s="9" t="n">
        <v>10</v>
      </c>
      <c r="E81" s="8" t="inlineStr">
        <is>
          <t>mg</t>
        </is>
      </c>
      <c r="F81" s="20" t="n">
        <v>40</v>
      </c>
      <c r="G81" s="13">
        <f>BANDAS!$E$46*$D81</f>
        <v/>
      </c>
      <c r="H81" s="13">
        <f>BANDAS!$F$46*$D81</f>
        <v/>
      </c>
      <c r="I81" s="21">
        <f>ROUND(AVERAGE(G81,H81)/1,0)*1</f>
        <v/>
      </c>
      <c r="J81" s="13">
        <f>IF($D81=0,"",I81/$D81)</f>
        <v/>
      </c>
      <c r="K81" s="14">
        <f>IF(F81="","",IF(F81&lt;G81,"POR DEBAJO",IF(F81&gt;H81,"POR ENCIMA","EN MERCADO")))</f>
        <v/>
      </c>
      <c r="L81" s="16" t="inlineStr">
        <is>
          <t>V</t>
        </is>
      </c>
    </row>
    <row r="82">
      <c r="A82" s="8" t="inlineStr">
        <is>
          <t>FITNESS</t>
        </is>
      </c>
      <c r="B82" s="8" t="inlineStr">
        <is>
          <t>SM</t>
        </is>
      </c>
      <c r="C82" s="8" t="inlineStr">
        <is>
          <t>Semaglutide</t>
        </is>
      </c>
      <c r="D82" s="9" t="n">
        <v>15</v>
      </c>
      <c r="E82" s="8" t="inlineStr">
        <is>
          <t>mg</t>
        </is>
      </c>
      <c r="F82" s="20" t="n">
        <v>60</v>
      </c>
      <c r="G82" s="13">
        <f>BANDAS!$E$46*$D82</f>
        <v/>
      </c>
      <c r="H82" s="13">
        <f>BANDAS!$F$46*$D82</f>
        <v/>
      </c>
      <c r="I82" s="21">
        <f>ROUND(AVERAGE(G82,H82)/1,0)*1</f>
        <v/>
      </c>
      <c r="J82" s="13">
        <f>IF($D82=0,"",I82/$D82)</f>
        <v/>
      </c>
      <c r="K82" s="14">
        <f>IF(F82="","",IF(F82&lt;G82,"POR DEBAJO",IF(F82&gt;H82,"POR ENCIMA","EN MERCADO")))</f>
        <v/>
      </c>
      <c r="L82" s="16" t="inlineStr">
        <is>
          <t>V</t>
        </is>
      </c>
    </row>
    <row r="83">
      <c r="A83" s="8" t="inlineStr">
        <is>
          <t>FITNESS</t>
        </is>
      </c>
      <c r="B83" s="8" t="inlineStr">
        <is>
          <t>SM</t>
        </is>
      </c>
      <c r="C83" s="8" t="inlineStr">
        <is>
          <t>Semaglutide</t>
        </is>
      </c>
      <c r="D83" s="9" t="n">
        <v>20</v>
      </c>
      <c r="E83" s="8" t="inlineStr">
        <is>
          <t>mg</t>
        </is>
      </c>
      <c r="F83" s="20" t="n">
        <v>80</v>
      </c>
      <c r="G83" s="13">
        <f>BANDAS!$E$46*$D83</f>
        <v/>
      </c>
      <c r="H83" s="13">
        <f>BANDAS!$F$46*$D83</f>
        <v/>
      </c>
      <c r="I83" s="21">
        <f>ROUND(AVERAGE(G83,H83)/1,0)*1</f>
        <v/>
      </c>
      <c r="J83" s="13">
        <f>IF($D83=0,"",I83/$D83)</f>
        <v/>
      </c>
      <c r="K83" s="14">
        <f>IF(F83="","",IF(F83&lt;G83,"POR DEBAJO",IF(F83&gt;H83,"POR ENCIMA","EN MERCADO")))</f>
        <v/>
      </c>
      <c r="L83" s="16" t="inlineStr">
        <is>
          <t>V</t>
        </is>
      </c>
    </row>
    <row r="84">
      <c r="A84" s="8" t="inlineStr">
        <is>
          <t>FITNESS</t>
        </is>
      </c>
      <c r="B84" s="8" t="inlineStr">
        <is>
          <t>SM</t>
        </is>
      </c>
      <c r="C84" s="8" t="inlineStr">
        <is>
          <t>Semaglutide</t>
        </is>
      </c>
      <c r="D84" s="9" t="n">
        <v>30</v>
      </c>
      <c r="E84" s="8" t="inlineStr">
        <is>
          <t>mg</t>
        </is>
      </c>
      <c r="F84" s="20" t="n">
        <v>115</v>
      </c>
      <c r="G84" s="13">
        <f>BANDAS!$E$46*$D84</f>
        <v/>
      </c>
      <c r="H84" s="13">
        <f>BANDAS!$F$46*$D84</f>
        <v/>
      </c>
      <c r="I84" s="21">
        <f>ROUND(AVERAGE(G84,H84)/1,0)*1</f>
        <v/>
      </c>
      <c r="J84" s="13">
        <f>IF($D84=0,"",I84/$D84)</f>
        <v/>
      </c>
      <c r="K84" s="14">
        <f>IF(F84="","",IF(F84&lt;G84,"POR DEBAJO",IF(F84&gt;H84,"POR ENCIMA","EN MERCADO")))</f>
        <v/>
      </c>
      <c r="L84" s="16" t="inlineStr">
        <is>
          <t>V</t>
        </is>
      </c>
    </row>
    <row r="85">
      <c r="A85" s="8" t="inlineStr">
        <is>
          <t>FITNESS</t>
        </is>
      </c>
      <c r="B85" s="8" t="inlineStr">
        <is>
          <t>SMO</t>
        </is>
      </c>
      <c r="C85" s="8" t="inlineStr">
        <is>
          <t>Sermorelin</t>
        </is>
      </c>
      <c r="D85" s="9" t="n">
        <v>5</v>
      </c>
      <c r="E85" s="8" t="inlineStr">
        <is>
          <t>mg</t>
        </is>
      </c>
      <c r="F85" s="20" t="n">
        <v>30</v>
      </c>
      <c r="G85" s="13">
        <f>BANDAS!$E$47*$D85</f>
        <v/>
      </c>
      <c r="H85" s="13">
        <f>BANDAS!$F$47*$D85</f>
        <v/>
      </c>
      <c r="I85" s="21">
        <f>ROUND(AVERAGE(G85,H85)/1,0)*1</f>
        <v/>
      </c>
      <c r="J85" s="13">
        <f>IF($D85=0,"",I85/$D85)</f>
        <v/>
      </c>
      <c r="K85" s="14">
        <f>IF(F85="","",IF(F85&lt;G85,"POR DEBAJO",IF(F85&gt;H85,"POR ENCIMA","EN MERCADO")))</f>
        <v/>
      </c>
      <c r="L85" s="15" t="inlineStr">
        <is>
          <t>D</t>
        </is>
      </c>
    </row>
    <row r="86">
      <c r="A86" s="8" t="inlineStr">
        <is>
          <t>FITNESS</t>
        </is>
      </c>
      <c r="B86" s="8" t="inlineStr">
        <is>
          <t>SMO</t>
        </is>
      </c>
      <c r="C86" s="8" t="inlineStr">
        <is>
          <t>Sermorelin</t>
        </is>
      </c>
      <c r="D86" s="9" t="n">
        <v>10</v>
      </c>
      <c r="E86" s="8" t="inlineStr">
        <is>
          <t>mg</t>
        </is>
      </c>
      <c r="F86" s="20" t="n">
        <v>55</v>
      </c>
      <c r="G86" s="13">
        <f>BANDAS!$E$47*$D86</f>
        <v/>
      </c>
      <c r="H86" s="13">
        <f>BANDAS!$F$47*$D86</f>
        <v/>
      </c>
      <c r="I86" s="21">
        <f>ROUND(AVERAGE(G86,H86)/1,0)*1</f>
        <v/>
      </c>
      <c r="J86" s="13">
        <f>IF($D86=0,"",I86/$D86)</f>
        <v/>
      </c>
      <c r="K86" s="14">
        <f>IF(F86="","",IF(F86&lt;G86,"POR DEBAJO",IF(F86&gt;H86,"POR ENCIMA","EN MERCADO")))</f>
        <v/>
      </c>
      <c r="L86" s="15" t="inlineStr">
        <is>
          <t>D</t>
        </is>
      </c>
    </row>
    <row r="87">
      <c r="A87" s="8" t="inlineStr">
        <is>
          <t>FITNESS</t>
        </is>
      </c>
      <c r="B87" s="8" t="inlineStr">
        <is>
          <t>TB</t>
        </is>
      </c>
      <c r="C87" s="8" t="inlineStr">
        <is>
          <t>TB-500</t>
        </is>
      </c>
      <c r="D87" s="9" t="n">
        <v>5</v>
      </c>
      <c r="E87" s="8" t="inlineStr">
        <is>
          <t>mg</t>
        </is>
      </c>
      <c r="F87" s="20" t="n">
        <v>22</v>
      </c>
      <c r="G87" s="13">
        <f>BANDAS!$E$48*$D87</f>
        <v/>
      </c>
      <c r="H87" s="13">
        <f>BANDAS!$F$48*$D87</f>
        <v/>
      </c>
      <c r="I87" s="21">
        <f>ROUND(AVERAGE(G87,H87)/1,0)*1</f>
        <v/>
      </c>
      <c r="J87" s="13">
        <f>IF($D87=0,"",I87/$D87)</f>
        <v/>
      </c>
      <c r="K87" s="14">
        <f>IF(F87="","",IF(F87&lt;G87,"POR DEBAJO",IF(F87&gt;H87,"POR ENCIMA","EN MERCADO")))</f>
        <v/>
      </c>
      <c r="L87" s="16" t="inlineStr">
        <is>
          <t>V</t>
        </is>
      </c>
    </row>
    <row r="88">
      <c r="A88" s="8" t="inlineStr">
        <is>
          <t>FITNESS</t>
        </is>
      </c>
      <c r="B88" s="8" t="inlineStr">
        <is>
          <t>TB</t>
        </is>
      </c>
      <c r="C88" s="8" t="inlineStr">
        <is>
          <t>TB-500</t>
        </is>
      </c>
      <c r="D88" s="9" t="n">
        <v>10</v>
      </c>
      <c r="E88" s="8" t="inlineStr">
        <is>
          <t>mg</t>
        </is>
      </c>
      <c r="F88" s="20" t="n">
        <v>35</v>
      </c>
      <c r="G88" s="13">
        <f>BANDAS!$E$48*$D88</f>
        <v/>
      </c>
      <c r="H88" s="13">
        <f>BANDAS!$F$48*$D88</f>
        <v/>
      </c>
      <c r="I88" s="21">
        <f>ROUND(AVERAGE(G88,H88)/1,0)*1</f>
        <v/>
      </c>
      <c r="J88" s="13">
        <f>IF($D88=0,"",I88/$D88)</f>
        <v/>
      </c>
      <c r="K88" s="14">
        <f>IF(F88="","",IF(F88&lt;G88,"POR DEBAJO",IF(F88&gt;H88,"POR ENCIMA","EN MERCADO")))</f>
        <v/>
      </c>
      <c r="L88" s="16" t="inlineStr">
        <is>
          <t>V</t>
        </is>
      </c>
    </row>
    <row r="89">
      <c r="A89" s="8" t="inlineStr">
        <is>
          <t>FITNESS</t>
        </is>
      </c>
      <c r="B89" s="8" t="inlineStr">
        <is>
          <t>TSM</t>
        </is>
      </c>
      <c r="C89" s="8" t="inlineStr">
        <is>
          <t>Tesamorelin</t>
        </is>
      </c>
      <c r="D89" s="9" t="n">
        <v>5</v>
      </c>
      <c r="E89" s="8" t="inlineStr">
        <is>
          <t>mg</t>
        </is>
      </c>
      <c r="F89" s="20" t="n">
        <v>25</v>
      </c>
      <c r="G89" s="13">
        <f>BANDAS!$E$49*$D89</f>
        <v/>
      </c>
      <c r="H89" s="13">
        <f>BANDAS!$F$49*$D89</f>
        <v/>
      </c>
      <c r="I89" s="21">
        <f>ROUND(AVERAGE(G89,H89)/1,0)*1</f>
        <v/>
      </c>
      <c r="J89" s="13">
        <f>IF($D89=0,"",I89/$D89)</f>
        <v/>
      </c>
      <c r="K89" s="14">
        <f>IF(F89="","",IF(F89&lt;G89,"POR DEBAJO",IF(F89&gt;H89,"POR ENCIMA","EN MERCADO")))</f>
        <v/>
      </c>
      <c r="L89" s="15" t="inlineStr">
        <is>
          <t>D</t>
        </is>
      </c>
    </row>
    <row r="90">
      <c r="A90" s="8" t="inlineStr">
        <is>
          <t>FITNESS</t>
        </is>
      </c>
      <c r="B90" s="8" t="inlineStr">
        <is>
          <t>TSM</t>
        </is>
      </c>
      <c r="C90" s="8" t="inlineStr">
        <is>
          <t>Tesamorelin</t>
        </is>
      </c>
      <c r="D90" s="9" t="n">
        <v>10</v>
      </c>
      <c r="E90" s="8" t="inlineStr">
        <is>
          <t>mg</t>
        </is>
      </c>
      <c r="F90" s="20" t="n">
        <v>50</v>
      </c>
      <c r="G90" s="13">
        <f>BANDAS!$E$49*$D90</f>
        <v/>
      </c>
      <c r="H90" s="13">
        <f>BANDAS!$F$49*$D90</f>
        <v/>
      </c>
      <c r="I90" s="21">
        <f>ROUND(AVERAGE(G90,H90)/1,0)*1</f>
        <v/>
      </c>
      <c r="J90" s="13">
        <f>IF($D90=0,"",I90/$D90)</f>
        <v/>
      </c>
      <c r="K90" s="14">
        <f>IF(F90="","",IF(F90&lt;G90,"POR DEBAJO",IF(F90&gt;H90,"POR ENCIMA","EN MERCADO")))</f>
        <v/>
      </c>
      <c r="L90" s="15" t="inlineStr">
        <is>
          <t>D</t>
        </is>
      </c>
    </row>
    <row r="91">
      <c r="A91" s="8" t="inlineStr">
        <is>
          <t>FITNESS</t>
        </is>
      </c>
      <c r="B91" s="8" t="inlineStr">
        <is>
          <t>TSM</t>
        </is>
      </c>
      <c r="C91" s="8" t="inlineStr">
        <is>
          <t>Tesamorelin</t>
        </is>
      </c>
      <c r="D91" s="9" t="n">
        <v>20</v>
      </c>
      <c r="E91" s="8" t="inlineStr">
        <is>
          <t>mg</t>
        </is>
      </c>
      <c r="F91" s="20" t="n">
        <v>100</v>
      </c>
      <c r="G91" s="13">
        <f>BANDAS!$E$49*$D91</f>
        <v/>
      </c>
      <c r="H91" s="13">
        <f>BANDAS!$F$49*$D91</f>
        <v/>
      </c>
      <c r="I91" s="21">
        <f>ROUND(AVERAGE(G91,H91)/1,0)*1</f>
        <v/>
      </c>
      <c r="J91" s="13">
        <f>IF($D91=0,"",I91/$D91)</f>
        <v/>
      </c>
      <c r="K91" s="14">
        <f>IF(F91="","",IF(F91&lt;G91,"POR DEBAJO",IF(F91&gt;H91,"POR ENCIMA","EN MERCADO")))</f>
        <v/>
      </c>
      <c r="L91" s="15" t="inlineStr">
        <is>
          <t>D</t>
        </is>
      </c>
    </row>
    <row r="92">
      <c r="A92" s="8" t="inlineStr">
        <is>
          <t>FITNESS</t>
        </is>
      </c>
      <c r="B92" s="8" t="inlineStr">
        <is>
          <t>TR</t>
        </is>
      </c>
      <c r="C92" s="8" t="inlineStr">
        <is>
          <t>Tirzepatide</t>
        </is>
      </c>
      <c r="D92" s="9" t="n">
        <v>5</v>
      </c>
      <c r="E92" s="8" t="inlineStr">
        <is>
          <t>mg</t>
        </is>
      </c>
      <c r="F92" s="20" t="n">
        <v>20</v>
      </c>
      <c r="G92" s="13">
        <f>BANDAS!$E$50*$D92</f>
        <v/>
      </c>
      <c r="H92" s="13">
        <f>BANDAS!$F$50*$D92</f>
        <v/>
      </c>
      <c r="I92" s="21">
        <f>ROUND(AVERAGE(G92,H92)/1,0)*1</f>
        <v/>
      </c>
      <c r="J92" s="13">
        <f>IF($D92=0,"",I92/$D92)</f>
        <v/>
      </c>
      <c r="K92" s="14">
        <f>IF(F92="","",IF(F92&lt;G92,"POR DEBAJO",IF(F92&gt;H92,"POR ENCIMA","EN MERCADO")))</f>
        <v/>
      </c>
      <c r="L92" s="16" t="inlineStr">
        <is>
          <t>V</t>
        </is>
      </c>
    </row>
    <row r="93">
      <c r="A93" s="8" t="inlineStr">
        <is>
          <t>FITNESS</t>
        </is>
      </c>
      <c r="B93" s="8" t="inlineStr">
        <is>
          <t>TR</t>
        </is>
      </c>
      <c r="C93" s="8" t="inlineStr">
        <is>
          <t>Tirzepatide</t>
        </is>
      </c>
      <c r="D93" s="9" t="n">
        <v>10</v>
      </c>
      <c r="E93" s="8" t="inlineStr">
        <is>
          <t>mg</t>
        </is>
      </c>
      <c r="F93" s="20" t="n">
        <v>40</v>
      </c>
      <c r="G93" s="13">
        <f>BANDAS!$E$50*$D93</f>
        <v/>
      </c>
      <c r="H93" s="13">
        <f>BANDAS!$F$50*$D93</f>
        <v/>
      </c>
      <c r="I93" s="21">
        <f>ROUND(AVERAGE(G93,H93)/1,0)*1</f>
        <v/>
      </c>
      <c r="J93" s="13">
        <f>IF($D93=0,"",I93/$D93)</f>
        <v/>
      </c>
      <c r="K93" s="14">
        <f>IF(F93="","",IF(F93&lt;G93,"POR DEBAJO",IF(F93&gt;H93,"POR ENCIMA","EN MERCADO")))</f>
        <v/>
      </c>
      <c r="L93" s="16" t="inlineStr">
        <is>
          <t>V</t>
        </is>
      </c>
    </row>
    <row r="94">
      <c r="A94" s="8" t="inlineStr">
        <is>
          <t>FITNESS</t>
        </is>
      </c>
      <c r="B94" s="8" t="inlineStr">
        <is>
          <t>TR</t>
        </is>
      </c>
      <c r="C94" s="8" t="inlineStr">
        <is>
          <t>Tirzepatide</t>
        </is>
      </c>
      <c r="D94" s="9" t="n">
        <v>15</v>
      </c>
      <c r="E94" s="8" t="inlineStr">
        <is>
          <t>mg</t>
        </is>
      </c>
      <c r="F94" s="20" t="n">
        <v>60</v>
      </c>
      <c r="G94" s="13">
        <f>BANDAS!$E$50*$D94</f>
        <v/>
      </c>
      <c r="H94" s="13">
        <f>BANDAS!$F$50*$D94</f>
        <v/>
      </c>
      <c r="I94" s="21">
        <f>ROUND(AVERAGE(G94,H94)/1,0)*1</f>
        <v/>
      </c>
      <c r="J94" s="13">
        <f>IF($D94=0,"",I94/$D94)</f>
        <v/>
      </c>
      <c r="K94" s="14">
        <f>IF(F94="","",IF(F94&lt;G94,"POR DEBAJO",IF(F94&gt;H94,"POR ENCIMA","EN MERCADO")))</f>
        <v/>
      </c>
      <c r="L94" s="16" t="inlineStr">
        <is>
          <t>V</t>
        </is>
      </c>
    </row>
    <row r="95">
      <c r="A95" s="8" t="inlineStr">
        <is>
          <t>FITNESS</t>
        </is>
      </c>
      <c r="B95" s="8" t="inlineStr">
        <is>
          <t>TR</t>
        </is>
      </c>
      <c r="C95" s="8" t="inlineStr">
        <is>
          <t>Tirzepatide</t>
        </is>
      </c>
      <c r="D95" s="9" t="n">
        <v>20</v>
      </c>
      <c r="E95" s="8" t="inlineStr">
        <is>
          <t>mg</t>
        </is>
      </c>
      <c r="F95" s="20" t="n">
        <v>80</v>
      </c>
      <c r="G95" s="13">
        <f>BANDAS!$E$50*$D95</f>
        <v/>
      </c>
      <c r="H95" s="13">
        <f>BANDAS!$F$50*$D95</f>
        <v/>
      </c>
      <c r="I95" s="21">
        <f>ROUND(AVERAGE(G95,H95)/1,0)*1</f>
        <v/>
      </c>
      <c r="J95" s="13">
        <f>IF($D95=0,"",I95/$D95)</f>
        <v/>
      </c>
      <c r="K95" s="14">
        <f>IF(F95="","",IF(F95&lt;G95,"POR DEBAJO",IF(F95&gt;H95,"POR ENCIMA","EN MERCADO")))</f>
        <v/>
      </c>
      <c r="L95" s="16" t="inlineStr">
        <is>
          <t>V</t>
        </is>
      </c>
    </row>
    <row r="96">
      <c r="A96" s="8" t="inlineStr">
        <is>
          <t>FITNESS</t>
        </is>
      </c>
      <c r="B96" s="8" t="inlineStr">
        <is>
          <t>TR</t>
        </is>
      </c>
      <c r="C96" s="8" t="inlineStr">
        <is>
          <t>Tirzepatide</t>
        </is>
      </c>
      <c r="D96" s="9" t="n">
        <v>30</v>
      </c>
      <c r="E96" s="8" t="inlineStr">
        <is>
          <t>mg</t>
        </is>
      </c>
      <c r="F96" s="20" t="n">
        <v>125</v>
      </c>
      <c r="G96" s="13">
        <f>BANDAS!$E$50*$D96</f>
        <v/>
      </c>
      <c r="H96" s="13">
        <f>BANDAS!$F$50*$D96</f>
        <v/>
      </c>
      <c r="I96" s="21">
        <f>ROUND(AVERAGE(G96,H96)/1,0)*1</f>
        <v/>
      </c>
      <c r="J96" s="13">
        <f>IF($D96=0,"",I96/$D96)</f>
        <v/>
      </c>
      <c r="K96" s="14">
        <f>IF(F96="","",IF(F96&lt;G96,"POR DEBAJO",IF(F96&gt;H96,"POR ENCIMA","EN MERCADO")))</f>
        <v/>
      </c>
      <c r="L96" s="16" t="inlineStr">
        <is>
          <t>V</t>
        </is>
      </c>
    </row>
    <row r="97">
      <c r="A97" s="8" t="inlineStr">
        <is>
          <t>FITNESS</t>
        </is>
      </c>
      <c r="B97" s="8" t="inlineStr">
        <is>
          <t>TR</t>
        </is>
      </c>
      <c r="C97" s="8" t="inlineStr">
        <is>
          <t>Tirzepatide</t>
        </is>
      </c>
      <c r="D97" s="9" t="n">
        <v>40</v>
      </c>
      <c r="E97" s="8" t="inlineStr">
        <is>
          <t>mg</t>
        </is>
      </c>
      <c r="F97" s="20" t="n">
        <v>165</v>
      </c>
      <c r="G97" s="13">
        <f>BANDAS!$E$50*$D97</f>
        <v/>
      </c>
      <c r="H97" s="13">
        <f>BANDAS!$F$50*$D97</f>
        <v/>
      </c>
      <c r="I97" s="21">
        <f>ROUND(AVERAGE(G97,H97)/1,0)*1</f>
        <v/>
      </c>
      <c r="J97" s="13">
        <f>IF($D97=0,"",I97/$D97)</f>
        <v/>
      </c>
      <c r="K97" s="14">
        <f>IF(F97="","",IF(F97&lt;G97,"POR DEBAJO",IF(F97&gt;H97,"POR ENCIMA","EN MERCADO")))</f>
        <v/>
      </c>
      <c r="L97" s="16" t="inlineStr">
        <is>
          <t>V</t>
        </is>
      </c>
    </row>
    <row r="98">
      <c r="A98" s="8" t="inlineStr">
        <is>
          <t>FITNESS</t>
        </is>
      </c>
      <c r="B98" s="8" t="inlineStr">
        <is>
          <t>TR</t>
        </is>
      </c>
      <c r="C98" s="8" t="inlineStr">
        <is>
          <t>Tirzepatide</t>
        </is>
      </c>
      <c r="D98" s="9" t="n">
        <v>50</v>
      </c>
      <c r="E98" s="8" t="inlineStr">
        <is>
          <t>mg</t>
        </is>
      </c>
      <c r="F98" s="20" t="n">
        <v>205</v>
      </c>
      <c r="G98" s="13">
        <f>BANDAS!$E$50*$D98</f>
        <v/>
      </c>
      <c r="H98" s="13">
        <f>BANDAS!$F$50*$D98</f>
        <v/>
      </c>
      <c r="I98" s="21">
        <f>ROUND(AVERAGE(G98,H98)/1,0)*1</f>
        <v/>
      </c>
      <c r="J98" s="13">
        <f>IF($D98=0,"",I98/$D98)</f>
        <v/>
      </c>
      <c r="K98" s="14">
        <f>IF(F98="","",IF(F98&lt;G98,"POR DEBAJO",IF(F98&gt;H98,"POR ENCIMA","EN MERCADO")))</f>
        <v/>
      </c>
      <c r="L98" s="16" t="inlineStr">
        <is>
          <t>V</t>
        </is>
      </c>
    </row>
    <row r="99">
      <c r="A99" s="8" t="inlineStr">
        <is>
          <t>FITNESS</t>
        </is>
      </c>
      <c r="B99" s="8" t="inlineStr">
        <is>
          <t>TR</t>
        </is>
      </c>
      <c r="C99" s="8" t="inlineStr">
        <is>
          <t>Tirzepatide</t>
        </is>
      </c>
      <c r="D99" s="9" t="n">
        <v>60</v>
      </c>
      <c r="E99" s="8" t="inlineStr">
        <is>
          <t>mg</t>
        </is>
      </c>
      <c r="F99" s="20" t="n">
        <v>245</v>
      </c>
      <c r="G99" s="13">
        <f>BANDAS!$E$50*$D99</f>
        <v/>
      </c>
      <c r="H99" s="13">
        <f>BANDAS!$F$50*$D99</f>
        <v/>
      </c>
      <c r="I99" s="21">
        <f>ROUND(AVERAGE(G99,H99)/1,0)*1</f>
        <v/>
      </c>
      <c r="J99" s="13">
        <f>IF($D99=0,"",I99/$D99)</f>
        <v/>
      </c>
      <c r="K99" s="14">
        <f>IF(F99="","",IF(F99&lt;G99,"POR DEBAJO",IF(F99&gt;H99,"POR ENCIMA","EN MERCADO")))</f>
        <v/>
      </c>
      <c r="L99" s="16" t="inlineStr">
        <is>
          <t>V</t>
        </is>
      </c>
    </row>
    <row r="100">
      <c r="A100" s="8" t="inlineStr">
        <is>
          <t>LONGEVITY</t>
        </is>
      </c>
      <c r="B100" s="8" t="inlineStr">
        <is>
          <t>CTL</t>
        </is>
      </c>
      <c r="C100" s="8" t="inlineStr">
        <is>
          <t>Cartalax</t>
        </is>
      </c>
      <c r="D100" s="9" t="n">
        <v>20</v>
      </c>
      <c r="E100" s="8" t="inlineStr">
        <is>
          <t>mg</t>
        </is>
      </c>
      <c r="F100" s="20" t="n">
        <v>110</v>
      </c>
      <c r="G100" s="13">
        <f>BANDAS!$E$51*$D100</f>
        <v/>
      </c>
      <c r="H100" s="13">
        <f>BANDAS!$F$51*$D100</f>
        <v/>
      </c>
      <c r="I100" s="21">
        <f>ROUND(AVERAGE(G100,H100)/1,0)*1</f>
        <v/>
      </c>
      <c r="J100" s="13">
        <f>IF($D100=0,"",I100/$D100)</f>
        <v/>
      </c>
      <c r="K100" s="14">
        <f>IF(F100="","",IF(F100&lt;G100,"POR DEBAJO",IF(F100&gt;H100,"POR ENCIMA","EN MERCADO")))</f>
        <v/>
      </c>
      <c r="L100" s="15" t="inlineStr">
        <is>
          <t>D</t>
        </is>
      </c>
    </row>
    <row r="101">
      <c r="A101" s="8" t="inlineStr">
        <is>
          <t>LONGEVITY</t>
        </is>
      </c>
      <c r="B101" s="8" t="inlineStr">
        <is>
          <t>DS</t>
        </is>
      </c>
      <c r="C101" s="8" t="inlineStr">
        <is>
          <t>DSIP</t>
        </is>
      </c>
      <c r="D101" s="9" t="n">
        <v>5</v>
      </c>
      <c r="E101" s="8" t="inlineStr">
        <is>
          <t>mg</t>
        </is>
      </c>
      <c r="F101" s="20" t="n">
        <v>15</v>
      </c>
      <c r="G101" s="13">
        <f>BANDAS!$E$52*$D101</f>
        <v/>
      </c>
      <c r="H101" s="13">
        <f>BANDAS!$F$52*$D101</f>
        <v/>
      </c>
      <c r="I101" s="21">
        <f>ROUND(AVERAGE(G101,H101)/1,0)*1</f>
        <v/>
      </c>
      <c r="J101" s="13">
        <f>IF($D101=0,"",I101/$D101)</f>
        <v/>
      </c>
      <c r="K101" s="14">
        <f>IF(F101="","",IF(F101&lt;G101,"POR DEBAJO",IF(F101&gt;H101,"POR ENCIMA","EN MERCADO")))</f>
        <v/>
      </c>
      <c r="L101" s="15" t="inlineStr">
        <is>
          <t>D</t>
        </is>
      </c>
    </row>
    <row r="102">
      <c r="A102" s="8" t="inlineStr">
        <is>
          <t>LONGEVITY</t>
        </is>
      </c>
      <c r="B102" s="8" t="inlineStr">
        <is>
          <t>DS</t>
        </is>
      </c>
      <c r="C102" s="8" t="inlineStr">
        <is>
          <t>DSIP</t>
        </is>
      </c>
      <c r="D102" s="9" t="n">
        <v>10</v>
      </c>
      <c r="E102" s="8" t="inlineStr">
        <is>
          <t>mg</t>
        </is>
      </c>
      <c r="F102" s="20" t="n">
        <v>35</v>
      </c>
      <c r="G102" s="13">
        <f>BANDAS!$E$52*$D102</f>
        <v/>
      </c>
      <c r="H102" s="13">
        <f>BANDAS!$F$52*$D102</f>
        <v/>
      </c>
      <c r="I102" s="21">
        <f>ROUND(AVERAGE(G102,H102)/1,0)*1</f>
        <v/>
      </c>
      <c r="J102" s="13">
        <f>IF($D102=0,"",I102/$D102)</f>
        <v/>
      </c>
      <c r="K102" s="14">
        <f>IF(F102="","",IF(F102&lt;G102,"POR DEBAJO",IF(F102&gt;H102,"POR ENCIMA","EN MERCADO")))</f>
        <v/>
      </c>
      <c r="L102" s="15" t="inlineStr">
        <is>
          <t>D</t>
        </is>
      </c>
    </row>
    <row r="103">
      <c r="A103" s="8" t="inlineStr">
        <is>
          <t>LONGEVITY</t>
        </is>
      </c>
      <c r="B103" s="8" t="inlineStr">
        <is>
          <t>DS</t>
        </is>
      </c>
      <c r="C103" s="8" t="inlineStr">
        <is>
          <t>DSIP</t>
        </is>
      </c>
      <c r="D103" s="9" t="n">
        <v>12</v>
      </c>
      <c r="E103" s="8" t="inlineStr">
        <is>
          <t>mg</t>
        </is>
      </c>
      <c r="F103" s="20" t="n">
        <v>40</v>
      </c>
      <c r="G103" s="13">
        <f>BANDAS!$E$52*$D103</f>
        <v/>
      </c>
      <c r="H103" s="13">
        <f>BANDAS!$F$52*$D103</f>
        <v/>
      </c>
      <c r="I103" s="21">
        <f>ROUND(AVERAGE(G103,H103)/1,0)*1</f>
        <v/>
      </c>
      <c r="J103" s="13">
        <f>IF($D103=0,"",I103/$D103)</f>
        <v/>
      </c>
      <c r="K103" s="14">
        <f>IF(F103="","",IF(F103&lt;G103,"POR DEBAJO",IF(F103&gt;H103,"POR ENCIMA","EN MERCADO")))</f>
        <v/>
      </c>
      <c r="L103" s="15" t="inlineStr">
        <is>
          <t>D</t>
        </is>
      </c>
    </row>
    <row r="104">
      <c r="A104" s="8" t="inlineStr">
        <is>
          <t>LONGEVITY</t>
        </is>
      </c>
      <c r="B104" s="8" t="inlineStr">
        <is>
          <t>DX</t>
        </is>
      </c>
      <c r="C104" s="8" t="inlineStr">
        <is>
          <t>Dihexa</t>
        </is>
      </c>
      <c r="D104" s="9" t="n">
        <v>5</v>
      </c>
      <c r="E104" s="8" t="inlineStr">
        <is>
          <t>mg</t>
        </is>
      </c>
      <c r="F104" s="20" t="n">
        <v>40</v>
      </c>
      <c r="G104" s="13">
        <f>BANDAS!$E$53*$D104</f>
        <v/>
      </c>
      <c r="H104" s="13">
        <f>BANDAS!$F$53*$D104</f>
        <v/>
      </c>
      <c r="I104" s="21">
        <f>ROUND(AVERAGE(G104,H104)/1,0)*1</f>
        <v/>
      </c>
      <c r="J104" s="13">
        <f>IF($D104=0,"",I104/$D104)</f>
        <v/>
      </c>
      <c r="K104" s="14">
        <f>IF(F104="","",IF(F104&lt;G104,"POR DEBAJO",IF(F104&gt;H104,"POR ENCIMA","EN MERCADO")))</f>
        <v/>
      </c>
      <c r="L104" s="15" t="inlineStr">
        <is>
          <t>D</t>
        </is>
      </c>
    </row>
    <row r="105">
      <c r="A105" s="8" t="inlineStr">
        <is>
          <t>LONGEVITY</t>
        </is>
      </c>
      <c r="B105" s="8" t="inlineStr">
        <is>
          <t>DX</t>
        </is>
      </c>
      <c r="C105" s="8" t="inlineStr">
        <is>
          <t>Dihexa</t>
        </is>
      </c>
      <c r="D105" s="9" t="n">
        <v>10</v>
      </c>
      <c r="E105" s="8" t="inlineStr">
        <is>
          <t>mg</t>
        </is>
      </c>
      <c r="F105" s="20" t="n">
        <v>85</v>
      </c>
      <c r="G105" s="13">
        <f>BANDAS!$E$53*$D105</f>
        <v/>
      </c>
      <c r="H105" s="13">
        <f>BANDAS!$F$53*$D105</f>
        <v/>
      </c>
      <c r="I105" s="21">
        <f>ROUND(AVERAGE(G105,H105)/1,0)*1</f>
        <v/>
      </c>
      <c r="J105" s="13">
        <f>IF($D105=0,"",I105/$D105)</f>
        <v/>
      </c>
      <c r="K105" s="14">
        <f>IF(F105="","",IF(F105&lt;G105,"POR DEBAJO",IF(F105&gt;H105,"POR ENCIMA","EN MERCADO")))</f>
        <v/>
      </c>
      <c r="L105" s="15" t="inlineStr">
        <is>
          <t>D</t>
        </is>
      </c>
    </row>
    <row r="106">
      <c r="A106" s="8" t="inlineStr">
        <is>
          <t>LONGEVITY</t>
        </is>
      </c>
      <c r="B106" s="8" t="inlineStr">
        <is>
          <t>ET</t>
        </is>
      </c>
      <c r="C106" s="8" t="inlineStr">
        <is>
          <t>Epithalon</t>
        </is>
      </c>
      <c r="D106" s="9" t="n">
        <v>10</v>
      </c>
      <c r="E106" s="8" t="inlineStr">
        <is>
          <t>mg</t>
        </is>
      </c>
      <c r="F106" s="20" t="n">
        <v>15</v>
      </c>
      <c r="G106" s="13">
        <f>BANDAS!$E$54*$D106</f>
        <v/>
      </c>
      <c r="H106" s="13">
        <f>BANDAS!$F$54*$D106</f>
        <v/>
      </c>
      <c r="I106" s="21">
        <f>ROUND(AVERAGE(G106,H106)/1,0)*1</f>
        <v/>
      </c>
      <c r="J106" s="13">
        <f>IF($D106=0,"",I106/$D106)</f>
        <v/>
      </c>
      <c r="K106" s="14">
        <f>IF(F106="","",IF(F106&lt;G106,"POR DEBAJO",IF(F106&gt;H106,"POR ENCIMA","EN MERCADO")))</f>
        <v/>
      </c>
      <c r="L106" s="16" t="inlineStr">
        <is>
          <t>V</t>
        </is>
      </c>
    </row>
    <row r="107">
      <c r="A107" s="8" t="inlineStr">
        <is>
          <t>LONGEVITY</t>
        </is>
      </c>
      <c r="B107" s="8" t="inlineStr">
        <is>
          <t>ET</t>
        </is>
      </c>
      <c r="C107" s="8" t="inlineStr">
        <is>
          <t>Epithalon</t>
        </is>
      </c>
      <c r="D107" s="9" t="n">
        <v>50</v>
      </c>
      <c r="E107" s="8" t="inlineStr">
        <is>
          <t>mg</t>
        </is>
      </c>
      <c r="F107" s="20" t="n">
        <v>75</v>
      </c>
      <c r="G107" s="13">
        <f>BANDAS!$E$54*$D107</f>
        <v/>
      </c>
      <c r="H107" s="13">
        <f>BANDAS!$F$54*$D107</f>
        <v/>
      </c>
      <c r="I107" s="21">
        <f>ROUND(AVERAGE(G107,H107)/1,0)*1</f>
        <v/>
      </c>
      <c r="J107" s="13">
        <f>IF($D107=0,"",I107/$D107)</f>
        <v/>
      </c>
      <c r="K107" s="14">
        <f>IF(F107="","",IF(F107&lt;G107,"POR DEBAJO",IF(F107&gt;H107,"POR ENCIMA","EN MERCADO")))</f>
        <v/>
      </c>
      <c r="L107" s="16" t="inlineStr">
        <is>
          <t>V</t>
        </is>
      </c>
    </row>
    <row r="108">
      <c r="A108" s="8" t="inlineStr">
        <is>
          <t>LONGEVITY</t>
        </is>
      </c>
      <c r="B108" s="8" t="inlineStr">
        <is>
          <t>F4</t>
        </is>
      </c>
      <c r="C108" s="8" t="inlineStr">
        <is>
          <t>FOXO4-DRI</t>
        </is>
      </c>
      <c r="D108" s="9" t="n">
        <v>2</v>
      </c>
      <c r="E108" s="8" t="inlineStr">
        <is>
          <t>mg</t>
        </is>
      </c>
      <c r="F108" s="20" t="n">
        <v>110</v>
      </c>
      <c r="G108" s="13">
        <f>BANDAS!$E$55*$D108</f>
        <v/>
      </c>
      <c r="H108" s="13">
        <f>BANDAS!$F$55*$D108</f>
        <v/>
      </c>
      <c r="I108" s="21">
        <f>ROUND(AVERAGE(G108,H108)/1,0)*1</f>
        <v/>
      </c>
      <c r="J108" s="13">
        <f>IF($D108=0,"",I108/$D108)</f>
        <v/>
      </c>
      <c r="K108" s="14">
        <f>IF(F108="","",IF(F108&lt;G108,"POR DEBAJO",IF(F108&gt;H108,"POR ENCIMA","EN MERCADO")))</f>
        <v/>
      </c>
      <c r="L108" s="15" t="inlineStr">
        <is>
          <t>D</t>
        </is>
      </c>
    </row>
    <row r="109">
      <c r="A109" s="8" t="inlineStr">
        <is>
          <t>LONGEVITY</t>
        </is>
      </c>
      <c r="B109" s="8" t="inlineStr">
        <is>
          <t>KS</t>
        </is>
      </c>
      <c r="C109" s="8" t="inlineStr">
        <is>
          <t>KissPeptin-10</t>
        </is>
      </c>
      <c r="D109" s="9" t="n">
        <v>5</v>
      </c>
      <c r="E109" s="8" t="inlineStr">
        <is>
          <t>mg</t>
        </is>
      </c>
      <c r="F109" s="20" t="n">
        <v>30</v>
      </c>
      <c r="G109" s="13">
        <f>BANDAS!$E$56*$D109</f>
        <v/>
      </c>
      <c r="H109" s="13">
        <f>BANDAS!$F$56*$D109</f>
        <v/>
      </c>
      <c r="I109" s="21">
        <f>ROUND(AVERAGE(G109,H109)/1,0)*1</f>
        <v/>
      </c>
      <c r="J109" s="13">
        <f>IF($D109=0,"",I109/$D109)</f>
        <v/>
      </c>
      <c r="K109" s="14">
        <f>IF(F109="","",IF(F109&lt;G109,"POR DEBAJO",IF(F109&gt;H109,"POR ENCIMA","EN MERCADO")))</f>
        <v/>
      </c>
      <c r="L109" s="15" t="inlineStr">
        <is>
          <t>D</t>
        </is>
      </c>
    </row>
    <row r="110">
      <c r="A110" s="8" t="inlineStr">
        <is>
          <t>LONGEVITY</t>
        </is>
      </c>
      <c r="B110" s="8" t="inlineStr">
        <is>
          <t>KS</t>
        </is>
      </c>
      <c r="C110" s="8" t="inlineStr">
        <is>
          <t>KissPeptin-10</t>
        </is>
      </c>
      <c r="D110" s="9" t="n">
        <v>10</v>
      </c>
      <c r="E110" s="8" t="inlineStr">
        <is>
          <t>mg</t>
        </is>
      </c>
      <c r="F110" s="20" t="n">
        <v>55</v>
      </c>
      <c r="G110" s="13">
        <f>BANDAS!$E$56*$D110</f>
        <v/>
      </c>
      <c r="H110" s="13">
        <f>BANDAS!$F$56*$D110</f>
        <v/>
      </c>
      <c r="I110" s="21">
        <f>ROUND(AVERAGE(G110,H110)/1,0)*1</f>
        <v/>
      </c>
      <c r="J110" s="13">
        <f>IF($D110=0,"",I110/$D110)</f>
        <v/>
      </c>
      <c r="K110" s="14">
        <f>IF(F110="","",IF(F110&lt;G110,"POR DEBAJO",IF(F110&gt;H110,"POR ENCIMA","EN MERCADO")))</f>
        <v/>
      </c>
      <c r="L110" s="15" t="inlineStr">
        <is>
          <t>D</t>
        </is>
      </c>
    </row>
    <row r="111">
      <c r="A111" s="8" t="inlineStr">
        <is>
          <t>LONGEVITY</t>
        </is>
      </c>
      <c r="B111" s="8" t="inlineStr">
        <is>
          <t>ML</t>
        </is>
      </c>
      <c r="C111" s="8" t="inlineStr">
        <is>
          <t>Melatonin</t>
        </is>
      </c>
      <c r="D111" s="9" t="n">
        <v>10</v>
      </c>
      <c r="E111" s="8" t="inlineStr">
        <is>
          <t>mg</t>
        </is>
      </c>
      <c r="F111" s="20" t="n">
        <v>20</v>
      </c>
      <c r="G111" s="13">
        <f>BANDAS!$E$57*$D111</f>
        <v/>
      </c>
      <c r="H111" s="13">
        <f>BANDAS!$F$57*$D111</f>
        <v/>
      </c>
      <c r="I111" s="21">
        <f>ROUND(AVERAGE(G111,H111)/1,0)*1</f>
        <v/>
      </c>
      <c r="J111" s="13">
        <f>IF($D111=0,"",I111/$D111)</f>
        <v/>
      </c>
      <c r="K111" s="14">
        <f>IF(F111="","",IF(F111&lt;G111,"POR DEBAJO",IF(F111&gt;H111,"POR ENCIMA","EN MERCADO")))</f>
        <v/>
      </c>
      <c r="L111" s="15" t="inlineStr">
        <is>
          <t>D</t>
        </is>
      </c>
    </row>
    <row r="112">
      <c r="A112" s="8" t="inlineStr">
        <is>
          <t>LONGEVITY</t>
        </is>
      </c>
      <c r="B112" s="8" t="inlineStr">
        <is>
          <t>NJ</t>
        </is>
      </c>
      <c r="C112" s="8" t="inlineStr">
        <is>
          <t>NAD+</t>
        </is>
      </c>
      <c r="D112" s="9" t="n">
        <v>100</v>
      </c>
      <c r="E112" s="8" t="inlineStr">
        <is>
          <t>mg</t>
        </is>
      </c>
      <c r="F112" s="20" t="n">
        <v>15</v>
      </c>
      <c r="G112" s="13">
        <f>BANDAS!$E$58*$D112</f>
        <v/>
      </c>
      <c r="H112" s="13">
        <f>BANDAS!$F$58*$D112</f>
        <v/>
      </c>
      <c r="I112" s="21">
        <f>ROUND(AVERAGE(G112,H112)/1,0)*1</f>
        <v/>
      </c>
      <c r="J112" s="13">
        <f>IF($D112=0,"",I112/$D112)</f>
        <v/>
      </c>
      <c r="K112" s="14">
        <f>IF(F112="","",IF(F112&lt;G112,"POR DEBAJO",IF(F112&gt;H112,"POR ENCIMA","EN MERCADO")))</f>
        <v/>
      </c>
      <c r="L112" s="16" t="inlineStr">
        <is>
          <t>V</t>
        </is>
      </c>
    </row>
    <row r="113">
      <c r="A113" s="8" t="inlineStr">
        <is>
          <t>LONGEVITY</t>
        </is>
      </c>
      <c r="B113" s="8" t="inlineStr">
        <is>
          <t>NJ</t>
        </is>
      </c>
      <c r="C113" s="8" t="inlineStr">
        <is>
          <t>NAD+</t>
        </is>
      </c>
      <c r="D113" s="9" t="n">
        <v>500</v>
      </c>
      <c r="E113" s="8" t="inlineStr">
        <is>
          <t>mg</t>
        </is>
      </c>
      <c r="F113" s="20" t="n">
        <v>75</v>
      </c>
      <c r="G113" s="13">
        <f>BANDAS!$E$58*$D113</f>
        <v/>
      </c>
      <c r="H113" s="13">
        <f>BANDAS!$F$58*$D113</f>
        <v/>
      </c>
      <c r="I113" s="21">
        <f>ROUND(AVERAGE(G113,H113)/1,0)*1</f>
        <v/>
      </c>
      <c r="J113" s="13">
        <f>IF($D113=0,"",I113/$D113)</f>
        <v/>
      </c>
      <c r="K113" s="14">
        <f>IF(F113="","",IF(F113&lt;G113,"POR DEBAJO",IF(F113&gt;H113,"POR ENCIMA","EN MERCADO")))</f>
        <v/>
      </c>
      <c r="L113" s="16" t="inlineStr">
        <is>
          <t>V</t>
        </is>
      </c>
    </row>
    <row r="114">
      <c r="A114" s="8" t="inlineStr">
        <is>
          <t>LONGEVITY</t>
        </is>
      </c>
      <c r="B114" s="8" t="inlineStr">
        <is>
          <t>NJ</t>
        </is>
      </c>
      <c r="C114" s="8" t="inlineStr">
        <is>
          <t>NAD+</t>
        </is>
      </c>
      <c r="D114" s="9" t="n">
        <v>1000</v>
      </c>
      <c r="E114" s="8" t="inlineStr">
        <is>
          <t>mg</t>
        </is>
      </c>
      <c r="F114" s="20" t="n">
        <v>150</v>
      </c>
      <c r="G114" s="13">
        <f>BANDAS!$E$58*$D114</f>
        <v/>
      </c>
      <c r="H114" s="13">
        <f>BANDAS!$F$58*$D114</f>
        <v/>
      </c>
      <c r="I114" s="21">
        <f>ROUND(AVERAGE(G114,H114)/1,0)*1</f>
        <v/>
      </c>
      <c r="J114" s="13">
        <f>IF($D114=0,"",I114/$D114)</f>
        <v/>
      </c>
      <c r="K114" s="14">
        <f>IF(F114="","",IF(F114&lt;G114,"POR DEBAJO",IF(F114&gt;H114,"POR ENCIMA","EN MERCADO")))</f>
        <v/>
      </c>
      <c r="L114" s="16" t="inlineStr">
        <is>
          <t>V</t>
        </is>
      </c>
    </row>
    <row r="115">
      <c r="A115" s="8" t="inlineStr">
        <is>
          <t>LONGEVITY</t>
        </is>
      </c>
      <c r="B115" s="8" t="inlineStr">
        <is>
          <t>PI</t>
        </is>
      </c>
      <c r="C115" s="8" t="inlineStr">
        <is>
          <t>Pinealon</t>
        </is>
      </c>
      <c r="D115" s="9" t="n">
        <v>10</v>
      </c>
      <c r="E115" s="8" t="inlineStr">
        <is>
          <t>mg</t>
        </is>
      </c>
      <c r="F115" s="20" t="n">
        <v>85</v>
      </c>
      <c r="G115" s="13">
        <f>BANDAS!$E$59*$D115</f>
        <v/>
      </c>
      <c r="H115" s="13">
        <f>BANDAS!$F$59*$D115</f>
        <v/>
      </c>
      <c r="I115" s="21">
        <f>ROUND(AVERAGE(G115,H115)/1,0)*1</f>
        <v/>
      </c>
      <c r="J115" s="13">
        <f>IF($D115=0,"",I115/$D115)</f>
        <v/>
      </c>
      <c r="K115" s="14">
        <f>IF(F115="","",IF(F115&lt;G115,"POR DEBAJO",IF(F115&gt;H115,"POR ENCIMA","EN MERCADO")))</f>
        <v/>
      </c>
      <c r="L115" s="15" t="inlineStr">
        <is>
          <t>D</t>
        </is>
      </c>
    </row>
    <row r="116">
      <c r="A116" s="8" t="inlineStr">
        <is>
          <t>LONGEVITY</t>
        </is>
      </c>
      <c r="B116" s="8" t="inlineStr">
        <is>
          <t>SK</t>
        </is>
      </c>
      <c r="C116" s="8" t="inlineStr">
        <is>
          <t>Selank</t>
        </is>
      </c>
      <c r="D116" s="9" t="n">
        <v>5</v>
      </c>
      <c r="E116" s="8" t="inlineStr">
        <is>
          <t>mg</t>
        </is>
      </c>
      <c r="F116" s="20" t="n">
        <v>20</v>
      </c>
      <c r="G116" s="13">
        <f>BANDAS!$E$60*$D116</f>
        <v/>
      </c>
      <c r="H116" s="13">
        <f>BANDAS!$F$60*$D116</f>
        <v/>
      </c>
      <c r="I116" s="21">
        <f>ROUND(AVERAGE(G116,H116)/1,0)*1</f>
        <v/>
      </c>
      <c r="J116" s="13">
        <f>IF($D116=0,"",I116/$D116)</f>
        <v/>
      </c>
      <c r="K116" s="14">
        <f>IF(F116="","",IF(F116&lt;G116,"POR DEBAJO",IF(F116&gt;H116,"POR ENCIMA","EN MERCADO")))</f>
        <v/>
      </c>
      <c r="L116" s="15" t="inlineStr">
        <is>
          <t>D</t>
        </is>
      </c>
    </row>
    <row r="117">
      <c r="A117" s="8" t="inlineStr">
        <is>
          <t>LONGEVITY</t>
        </is>
      </c>
      <c r="B117" s="8" t="inlineStr">
        <is>
          <t>SK</t>
        </is>
      </c>
      <c r="C117" s="8" t="inlineStr">
        <is>
          <t>Selank</t>
        </is>
      </c>
      <c r="D117" s="9" t="n">
        <v>10</v>
      </c>
      <c r="E117" s="8" t="inlineStr">
        <is>
          <t>mg</t>
        </is>
      </c>
      <c r="F117" s="20" t="n">
        <v>35</v>
      </c>
      <c r="G117" s="13">
        <f>BANDAS!$E$60*$D117</f>
        <v/>
      </c>
      <c r="H117" s="13">
        <f>BANDAS!$F$60*$D117</f>
        <v/>
      </c>
      <c r="I117" s="21">
        <f>ROUND(AVERAGE(G117,H117)/1,0)*1</f>
        <v/>
      </c>
      <c r="J117" s="13">
        <f>IF($D117=0,"",I117/$D117)</f>
        <v/>
      </c>
      <c r="K117" s="14">
        <f>IF(F117="","",IF(F117&lt;G117,"POR DEBAJO",IF(F117&gt;H117,"POR ENCIMA","EN MERCADO")))</f>
        <v/>
      </c>
      <c r="L117" s="15" t="inlineStr">
        <is>
          <t>D</t>
        </is>
      </c>
    </row>
    <row r="118">
      <c r="A118" s="8" t="inlineStr">
        <is>
          <t>LONGEVITY</t>
        </is>
      </c>
      <c r="B118" s="8" t="inlineStr">
        <is>
          <t>SX</t>
        </is>
      </c>
      <c r="C118" s="8" t="inlineStr">
        <is>
          <t>Semax</t>
        </is>
      </c>
      <c r="D118" s="9" t="n">
        <v>5</v>
      </c>
      <c r="E118" s="8" t="inlineStr">
        <is>
          <t>mg</t>
        </is>
      </c>
      <c r="F118" s="20" t="n">
        <v>20</v>
      </c>
      <c r="G118" s="13">
        <f>BANDAS!$E$61*$D118</f>
        <v/>
      </c>
      <c r="H118" s="13">
        <f>BANDAS!$F$61*$D118</f>
        <v/>
      </c>
      <c r="I118" s="21">
        <f>ROUND(AVERAGE(G118,H118)/1,0)*1</f>
        <v/>
      </c>
      <c r="J118" s="13">
        <f>IF($D118=0,"",I118/$D118)</f>
        <v/>
      </c>
      <c r="K118" s="14">
        <f>IF(F118="","",IF(F118&lt;G118,"POR DEBAJO",IF(F118&gt;H118,"POR ENCIMA","EN MERCADO")))</f>
        <v/>
      </c>
      <c r="L118" s="15" t="inlineStr">
        <is>
          <t>D</t>
        </is>
      </c>
    </row>
    <row r="119">
      <c r="A119" s="8" t="inlineStr">
        <is>
          <t>LONGEVITY</t>
        </is>
      </c>
      <c r="B119" s="8" t="inlineStr">
        <is>
          <t>SX</t>
        </is>
      </c>
      <c r="C119" s="8" t="inlineStr">
        <is>
          <t>Semax</t>
        </is>
      </c>
      <c r="D119" s="9" t="n">
        <v>10</v>
      </c>
      <c r="E119" s="8" t="inlineStr">
        <is>
          <t>mg</t>
        </is>
      </c>
      <c r="F119" s="20" t="n">
        <v>40</v>
      </c>
      <c r="G119" s="13">
        <f>BANDAS!$E$61*$D119</f>
        <v/>
      </c>
      <c r="H119" s="13">
        <f>BANDAS!$F$61*$D119</f>
        <v/>
      </c>
      <c r="I119" s="21">
        <f>ROUND(AVERAGE(G119,H119)/1,0)*1</f>
        <v/>
      </c>
      <c r="J119" s="13">
        <f>IF($D119=0,"",I119/$D119)</f>
        <v/>
      </c>
      <c r="K119" s="14">
        <f>IF(F119="","",IF(F119&lt;G119,"POR DEBAJO",IF(F119&gt;H119,"POR ENCIMA","EN MERCADO")))</f>
        <v/>
      </c>
      <c r="L119" s="15" t="inlineStr">
        <is>
          <t>D</t>
        </is>
      </c>
    </row>
    <row r="120">
      <c r="A120" s="8" t="inlineStr">
        <is>
          <t>LONGEVITY</t>
        </is>
      </c>
      <c r="B120" s="8" t="inlineStr">
        <is>
          <t>TY</t>
        </is>
      </c>
      <c r="C120" s="8" t="inlineStr">
        <is>
          <t>Thymalin</t>
        </is>
      </c>
      <c r="D120" s="9" t="n">
        <v>10</v>
      </c>
      <c r="E120" s="8" t="inlineStr">
        <is>
          <t>mg</t>
        </is>
      </c>
      <c r="F120" s="20" t="n">
        <v>55</v>
      </c>
      <c r="G120" s="13">
        <f>BANDAS!$E$62*$D120</f>
        <v/>
      </c>
      <c r="H120" s="13">
        <f>BANDAS!$F$62*$D120</f>
        <v/>
      </c>
      <c r="I120" s="21">
        <f>ROUND(AVERAGE(G120,H120)/1,0)*1</f>
        <v/>
      </c>
      <c r="J120" s="13">
        <f>IF($D120=0,"",I120/$D120)</f>
        <v/>
      </c>
      <c r="K120" s="14">
        <f>IF(F120="","",IF(F120&lt;G120,"POR DEBAJO",IF(F120&gt;H120,"POR ENCIMA","EN MERCADO")))</f>
        <v/>
      </c>
      <c r="L120" s="15" t="inlineStr">
        <is>
          <t>D</t>
        </is>
      </c>
    </row>
    <row r="121">
      <c r="A121" s="8" t="inlineStr">
        <is>
          <t>LONGEVITY</t>
        </is>
      </c>
      <c r="B121" s="8" t="inlineStr">
        <is>
          <t>Ta1</t>
        </is>
      </c>
      <c r="C121" s="8" t="inlineStr">
        <is>
          <t>Thymosin Alpha-1</t>
        </is>
      </c>
      <c r="D121" s="9" t="n">
        <v>5</v>
      </c>
      <c r="E121" s="8" t="inlineStr">
        <is>
          <t>mg</t>
        </is>
      </c>
      <c r="F121" s="20" t="n">
        <v>40</v>
      </c>
      <c r="G121" s="13">
        <f>BANDAS!$E$63*$D121</f>
        <v/>
      </c>
      <c r="H121" s="13">
        <f>BANDAS!$F$63*$D121</f>
        <v/>
      </c>
      <c r="I121" s="21">
        <f>ROUND(AVERAGE(G121,H121)/1,0)*1</f>
        <v/>
      </c>
      <c r="J121" s="13">
        <f>IF($D121=0,"",I121/$D121)</f>
        <v/>
      </c>
      <c r="K121" s="14">
        <f>IF(F121="","",IF(F121&lt;G121,"POR DEBAJO",IF(F121&gt;H121,"POR ENCIMA","EN MERCADO")))</f>
        <v/>
      </c>
      <c r="L121" s="15" t="inlineStr">
        <is>
          <t>D</t>
        </is>
      </c>
    </row>
    <row r="122">
      <c r="A122" s="8" t="inlineStr">
        <is>
          <t>LONGEVITY</t>
        </is>
      </c>
      <c r="B122" s="8" t="inlineStr">
        <is>
          <t>Ta1</t>
        </is>
      </c>
      <c r="C122" s="8" t="inlineStr">
        <is>
          <t>Thymosin Alpha-1</t>
        </is>
      </c>
      <c r="D122" s="9" t="n">
        <v>10</v>
      </c>
      <c r="E122" s="8" t="inlineStr">
        <is>
          <t>mg</t>
        </is>
      </c>
      <c r="F122" s="20" t="n">
        <v>85</v>
      </c>
      <c r="G122" s="13">
        <f>BANDAS!$E$63*$D122</f>
        <v/>
      </c>
      <c r="H122" s="13">
        <f>BANDAS!$F$63*$D122</f>
        <v/>
      </c>
      <c r="I122" s="21">
        <f>ROUND(AVERAGE(G122,H122)/1,0)*1</f>
        <v/>
      </c>
      <c r="J122" s="13">
        <f>IF($D122=0,"",I122/$D122)</f>
        <v/>
      </c>
      <c r="K122" s="14">
        <f>IF(F122="","",IF(F122&lt;G122,"POR DEBAJO",IF(F122&gt;H122,"POR ENCIMA","EN MERCADO")))</f>
        <v/>
      </c>
      <c r="L122" s="15" t="inlineStr">
        <is>
          <t>D</t>
        </is>
      </c>
    </row>
    <row r="123">
      <c r="A123" s="8" t="inlineStr">
        <is>
          <t>LONGEVITY</t>
        </is>
      </c>
      <c r="B123" s="8" t="inlineStr">
        <is>
          <t>B12</t>
        </is>
      </c>
      <c r="C123" s="8" t="inlineStr">
        <is>
          <t>Vitamin B12</t>
        </is>
      </c>
      <c r="D123" s="9" t="n">
        <v>1</v>
      </c>
      <c r="E123" s="8" t="inlineStr">
        <is>
          <t>mg</t>
        </is>
      </c>
      <c r="F123" s="20" t="n">
        <v>30</v>
      </c>
      <c r="G123" s="13">
        <f>BANDAS!$E$64*$D123</f>
        <v/>
      </c>
      <c r="H123" s="13">
        <f>BANDAS!$F$64*$D123</f>
        <v/>
      </c>
      <c r="I123" s="21">
        <f>ROUND(AVERAGE(G123,H123)/1,0)*1</f>
        <v/>
      </c>
      <c r="J123" s="13">
        <f>IF($D123=0,"",I123/$D123)</f>
        <v/>
      </c>
      <c r="K123" s="14">
        <f>IF(F123="","",IF(F123&lt;G123,"POR DEBAJO",IF(F123&gt;H123,"POR ENCIMA","EN MERCADO")))</f>
        <v/>
      </c>
      <c r="L123" s="15" t="inlineStr">
        <is>
          <t>D</t>
        </is>
      </c>
    </row>
    <row r="125">
      <c r="C125" s="17" t="inlineStr">
        <is>
          <t>Presentaciones</t>
        </is>
      </c>
      <c r="D125" s="17">
        <f>COUNTA($B$6:$B$123)</f>
        <v/>
      </c>
    </row>
    <row r="126">
      <c r="C126" s="18" t="inlineStr">
        <is>
          <t>Por debajo del mercado</t>
        </is>
      </c>
      <c r="D126" s="17">
        <f>COUNTIF($K$6:$K$123,"POR DEBAJO")</f>
        <v/>
      </c>
    </row>
    <row r="127">
      <c r="C127" s="18" t="inlineStr">
        <is>
          <t>En mercado</t>
        </is>
      </c>
      <c r="D127" s="17">
        <f>COUNTIF($K$6:$K$123,"EN MERCADO")</f>
        <v/>
      </c>
    </row>
    <row r="128">
      <c r="C128" s="18" t="inlineStr">
        <is>
          <t>Por encima</t>
        </is>
      </c>
      <c r="D128" s="17">
        <f>COUNTIF($K$6:$K$123,"POR ENCIMA")</f>
        <v/>
      </c>
    </row>
    <row r="129">
      <c r="C129" s="18" t="inlineStr">
        <is>
          <t>Valor del catálogo a tu precio de hoy</t>
        </is>
      </c>
      <c r="D129" s="22">
        <f>SUM($F$6:$F$123)</f>
        <v/>
      </c>
    </row>
    <row r="130">
      <c r="C130" s="18" t="inlineStr">
        <is>
          <t>Valor del catálogo al precio sugerido</t>
        </is>
      </c>
      <c r="D130" s="22">
        <f>SUM($I$6:$I$123)</f>
        <v/>
      </c>
    </row>
    <row r="131">
      <c r="C131" s="17" t="inlineStr">
        <is>
          <t>Diferencia</t>
        </is>
      </c>
      <c r="D131" s="22">
        <f>D130-D129</f>
        <v/>
      </c>
    </row>
  </sheetData>
  <autoFilter ref="A5:L1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6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9" customWidth="1" min="4" max="4"/>
    <col width="15" customWidth="1" min="5" max="5"/>
    <col width="15" customWidth="1" min="6" max="6"/>
    <col width="8" customWidth="1" min="7" max="7"/>
    <col width="82" customWidth="1" min="8" max="8"/>
  </cols>
  <sheetData>
    <row r="2">
      <c r="B2" s="5" t="inlineStr">
        <is>
          <t>BANDAS DE MERCADO</t>
        </is>
      </c>
    </row>
    <row r="3">
      <c r="B3" s="6" t="inlineStr">
        <is>
          <t>Precio de mercado por unidad, en dólares.  Es el único sitio donde hay números escritos a mano: todo lo demás del libro sale de aquí por fórmula.</t>
        </is>
      </c>
    </row>
    <row r="5">
      <c r="B5" s="17" t="inlineStr">
        <is>
          <t>Tipo de cambio USD → MXN</t>
        </is>
      </c>
      <c r="E5" s="23" t="n">
        <v>17.5</v>
      </c>
      <c r="F5" s="6" t="inlineStr">
        <is>
          <t>Fuente: Investing.com · media 2026 ≈ 17.47</t>
        </is>
      </c>
    </row>
    <row r="6">
      <c r="B6" s="17" t="inlineStr">
        <is>
          <t>Prima del retail mexicano sobre el estadounidense</t>
        </is>
      </c>
      <c r="E6" s="23" t="n">
        <v>1.35</v>
      </c>
      <c r="F6" s="6" t="inlineStr">
        <is>
          <t>Mediana observada comparando ocho pares MX/USA reales (ver FUENTES)</t>
        </is>
      </c>
    </row>
    <row r="8" ht="30" customHeight="1">
      <c r="A8" s="7" t="inlineStr">
        <is>
          <t>CÓDIGO</t>
        </is>
      </c>
      <c r="B8" s="7" t="inlineStr">
        <is>
          <t>COMPUESTO</t>
        </is>
      </c>
      <c r="C8" s="7" t="inlineStr">
        <is>
          <t>LÍNEA</t>
        </is>
      </c>
      <c r="D8" s="7" t="inlineStr">
        <is>
          <t>UNIDAD</t>
        </is>
      </c>
      <c r="E8" s="7" t="inlineStr">
        <is>
          <t>USD/UNIDAD BAJO</t>
        </is>
      </c>
      <c r="F8" s="7" t="inlineStr">
        <is>
          <t>USD/UNIDAD ALTO</t>
        </is>
      </c>
      <c r="G8" s="7" t="inlineStr">
        <is>
          <t>CONF.</t>
        </is>
      </c>
      <c r="H8" s="7" t="inlineStr">
        <is>
          <t>DE DÓNDE SALE</t>
        </is>
      </c>
    </row>
    <row r="9">
      <c r="A9" s="24" t="inlineStr">
        <is>
          <t>AC</t>
        </is>
      </c>
      <c r="B9" s="24" t="inlineStr">
        <is>
          <t>AHK-Cu</t>
        </is>
      </c>
      <c r="C9" s="24" t="inlineStr">
        <is>
          <t>BEAUTY</t>
        </is>
      </c>
      <c r="D9" s="24" t="inlineStr">
        <is>
          <t>mg</t>
        </is>
      </c>
      <c r="E9" s="25" t="n">
        <v>0.7</v>
      </c>
      <c r="F9" s="25" t="n">
        <v>1.3</v>
      </c>
      <c r="G9" s="15" t="inlineStr">
        <is>
          <t>D</t>
        </is>
      </c>
      <c r="H9" s="26" t="inlineStr">
        <is>
          <t>AHK-Cu: 50 mg $35–65, sigue a GHK-Cu con prima</t>
        </is>
      </c>
    </row>
    <row r="10">
      <c r="A10" s="24" t="inlineStr">
        <is>
          <t>CU</t>
        </is>
      </c>
      <c r="B10" s="24" t="inlineStr">
        <is>
          <t>GHK-Cu</t>
        </is>
      </c>
      <c r="C10" s="24" t="inlineStr">
        <is>
          <t>BEAUTY</t>
        </is>
      </c>
      <c r="D10" s="24" t="inlineStr">
        <is>
          <t>mg</t>
        </is>
      </c>
      <c r="E10" s="25" t="n">
        <v>0.5</v>
      </c>
      <c r="F10" s="25" t="n">
        <v>0.8</v>
      </c>
      <c r="G10" s="16" t="inlineStr">
        <is>
          <t>V</t>
        </is>
      </c>
      <c r="H10" s="26" t="inlineStr">
        <is>
          <t>peptide.promo · GHK-Cu desde $0.50/mg; 50 mg $20–40</t>
        </is>
      </c>
    </row>
    <row r="11">
      <c r="A11" s="24" t="inlineStr">
        <is>
          <t>GL</t>
        </is>
      </c>
      <c r="B11" s="24" t="inlineStr">
        <is>
          <t>GLOW Blend</t>
        </is>
      </c>
      <c r="C11" s="24" t="inlineStr">
        <is>
          <t>BEAUTY</t>
        </is>
      </c>
      <c r="D11" s="24" t="inlineStr">
        <is>
          <t>mg</t>
        </is>
      </c>
      <c r="E11" s="25" t="n">
        <v>1.7</v>
      </c>
      <c r="F11" s="25" t="n">
        <v>3.1</v>
      </c>
      <c r="G11" s="15" t="inlineStr">
        <is>
          <t>D</t>
        </is>
      </c>
      <c r="H11" s="26" t="inlineStr">
        <is>
          <t>Mezcla GLOW 70 mg: $120–220 el vial</t>
        </is>
      </c>
    </row>
    <row r="12">
      <c r="A12" s="24" t="inlineStr">
        <is>
          <t>GT</t>
        </is>
      </c>
      <c r="B12" s="24" t="inlineStr">
        <is>
          <t>Glutathione</t>
        </is>
      </c>
      <c r="C12" s="24" t="inlineStr">
        <is>
          <t>BEAUTY</t>
        </is>
      </c>
      <c r="D12" s="24" t="inlineStr">
        <is>
          <t>mg</t>
        </is>
      </c>
      <c r="E12" s="25" t="n">
        <v>0.05</v>
      </c>
      <c r="F12" s="25" t="n">
        <v>0.1</v>
      </c>
      <c r="G12" s="15" t="inlineStr">
        <is>
          <t>D</t>
        </is>
      </c>
      <c r="H12" s="26" t="inlineStr">
        <is>
          <t>Glutatión: 600 mg $30–60, es materia prima</t>
        </is>
      </c>
    </row>
    <row r="13">
      <c r="A13" s="24" t="inlineStr">
        <is>
          <t>KL</t>
        </is>
      </c>
      <c r="B13" s="24" t="inlineStr">
        <is>
          <t>KLOW Blend</t>
        </is>
      </c>
      <c r="C13" s="24" t="inlineStr">
        <is>
          <t>BEAUTY</t>
        </is>
      </c>
      <c r="D13" s="24" t="inlineStr">
        <is>
          <t>mg</t>
        </is>
      </c>
      <c r="E13" s="25" t="n">
        <v>1.9</v>
      </c>
      <c r="F13" s="25" t="n">
        <v>3.25</v>
      </c>
      <c r="G13" s="15" t="inlineStr">
        <is>
          <t>D</t>
        </is>
      </c>
      <c r="H13" s="26" t="inlineStr">
        <is>
          <t>Mezcla KLOW 80 mg: $150–260 el vial</t>
        </is>
      </c>
    </row>
    <row r="14">
      <c r="A14" s="24" t="inlineStr">
        <is>
          <t>KP</t>
        </is>
      </c>
      <c r="B14" s="24" t="inlineStr">
        <is>
          <t>KPV</t>
        </is>
      </c>
      <c r="C14" s="24" t="inlineStr">
        <is>
          <t>BEAUTY</t>
        </is>
      </c>
      <c r="D14" s="24" t="inlineStr">
        <is>
          <t>mg</t>
        </is>
      </c>
      <c r="E14" s="25" t="n">
        <v>3</v>
      </c>
      <c r="F14" s="25" t="n">
        <v>5.5</v>
      </c>
      <c r="G14" s="15" t="inlineStr">
        <is>
          <t>D</t>
        </is>
      </c>
      <c r="H14" s="26" t="inlineStr">
        <is>
          <t>KPV: 10 mg $30–55</t>
        </is>
      </c>
    </row>
    <row r="15">
      <c r="A15" s="24" t="inlineStr">
        <is>
          <t>MX</t>
        </is>
      </c>
      <c r="B15" s="24" t="inlineStr">
        <is>
          <t>Matrixyl</t>
        </is>
      </c>
      <c r="C15" s="24" t="inlineStr">
        <is>
          <t>BEAUTY</t>
        </is>
      </c>
      <c r="D15" s="24" t="inlineStr">
        <is>
          <t>mg</t>
        </is>
      </c>
      <c r="E15" s="25" t="n">
        <v>5</v>
      </c>
      <c r="F15" s="25" t="n">
        <v>9</v>
      </c>
      <c r="G15" s="15" t="inlineStr">
        <is>
          <t>D</t>
        </is>
      </c>
      <c r="H15" s="26" t="inlineStr">
        <is>
          <t>Matrixyl: 10 mg $50–90</t>
        </is>
      </c>
    </row>
    <row r="16">
      <c r="A16" s="24" t="inlineStr">
        <is>
          <t>MT1</t>
        </is>
      </c>
      <c r="B16" s="24" t="inlineStr">
        <is>
          <t>Melanotan I</t>
        </is>
      </c>
      <c r="C16" s="24" t="inlineStr">
        <is>
          <t>BEAUTY</t>
        </is>
      </c>
      <c r="D16" s="24" t="inlineStr">
        <is>
          <t>mg</t>
        </is>
      </c>
      <c r="E16" s="25" t="n">
        <v>3</v>
      </c>
      <c r="F16" s="25" t="n">
        <v>5.5</v>
      </c>
      <c r="G16" s="15" t="inlineStr">
        <is>
          <t>D</t>
        </is>
      </c>
      <c r="H16" s="26" t="inlineStr">
        <is>
          <t>Melanotán 1: sigue a melanotán 2 con menos demanda</t>
        </is>
      </c>
    </row>
    <row r="17">
      <c r="A17" s="24" t="inlineStr">
        <is>
          <t>MT2</t>
        </is>
      </c>
      <c r="B17" s="24" t="inlineStr">
        <is>
          <t>Melanotan II</t>
        </is>
      </c>
      <c r="C17" s="24" t="inlineStr">
        <is>
          <t>BEAUTY</t>
        </is>
      </c>
      <c r="D17" s="24" t="inlineStr">
        <is>
          <t>mg</t>
        </is>
      </c>
      <c r="E17" s="25" t="n">
        <v>2.2</v>
      </c>
      <c r="F17" s="25" t="n">
        <v>6.4</v>
      </c>
      <c r="G17" s="16" t="inlineStr">
        <is>
          <t>V</t>
        </is>
      </c>
      <c r="H17" s="26" t="inlineStr">
        <is>
          <t>nationwidepeptides · melanotán 2 $22–30 y $47–64 según presentación</t>
        </is>
      </c>
    </row>
    <row r="18">
      <c r="A18" s="24" t="inlineStr">
        <is>
          <t>OT</t>
        </is>
      </c>
      <c r="B18" s="24" t="inlineStr">
        <is>
          <t>Oxytocin</t>
        </is>
      </c>
      <c r="C18" s="24" t="inlineStr">
        <is>
          <t>BEAUTY</t>
        </is>
      </c>
      <c r="D18" s="24" t="inlineStr">
        <is>
          <t>mg</t>
        </is>
      </c>
      <c r="E18" s="25" t="n">
        <v>5</v>
      </c>
      <c r="F18" s="25" t="n">
        <v>9</v>
      </c>
      <c r="G18" s="15" t="inlineStr">
        <is>
          <t>D</t>
        </is>
      </c>
      <c r="H18" s="26" t="inlineStr">
        <is>
          <t>Oxitocina: 5 mg $25–45</t>
        </is>
      </c>
    </row>
    <row r="19">
      <c r="A19" s="24" t="inlineStr">
        <is>
          <t>PT</t>
        </is>
      </c>
      <c r="B19" s="24" t="inlineStr">
        <is>
          <t>PT-141</t>
        </is>
      </c>
      <c r="C19" s="24" t="inlineStr">
        <is>
          <t>BEAUTY</t>
        </is>
      </c>
      <c r="D19" s="24" t="inlineStr">
        <is>
          <t>mg</t>
        </is>
      </c>
      <c r="E19" s="25" t="n">
        <v>4</v>
      </c>
      <c r="F19" s="25" t="n">
        <v>8</v>
      </c>
      <c r="G19" s="16" t="inlineStr">
        <is>
          <t>V</t>
        </is>
      </c>
      <c r="H19" s="26" t="inlineStr">
        <is>
          <t>biotechpeptides / nexaph · PT-141 10 mg; nexaph $160 es el techo del mercado</t>
        </is>
      </c>
    </row>
    <row r="20">
      <c r="A20" s="24" t="inlineStr">
        <is>
          <t>NP8</t>
        </is>
      </c>
      <c r="B20" s="24" t="inlineStr">
        <is>
          <t>Snap-8</t>
        </is>
      </c>
      <c r="C20" s="24" t="inlineStr">
        <is>
          <t>BEAUTY</t>
        </is>
      </c>
      <c r="D20" s="24" t="inlineStr">
        <is>
          <t>mg</t>
        </is>
      </c>
      <c r="E20" s="25" t="n">
        <v>3</v>
      </c>
      <c r="F20" s="25" t="n">
        <v>5.5</v>
      </c>
      <c r="G20" s="15" t="inlineStr">
        <is>
          <t>D</t>
        </is>
      </c>
      <c r="H20" s="26" t="inlineStr">
        <is>
          <t>Snap-8: 10 mg $30–55</t>
        </is>
      </c>
    </row>
    <row r="21">
      <c r="A21" s="24" t="inlineStr">
        <is>
          <t>AM</t>
        </is>
      </c>
      <c r="B21" s="24" t="inlineStr">
        <is>
          <t>5-Amino-1MQ</t>
        </is>
      </c>
      <c r="C21" s="24" t="inlineStr">
        <is>
          <t>FITNESS</t>
        </is>
      </c>
      <c r="D21" s="24" t="inlineStr">
        <is>
          <t>mg</t>
        </is>
      </c>
      <c r="E21" s="25" t="n">
        <v>1.2</v>
      </c>
      <c r="F21" s="25" t="n">
        <v>2.2</v>
      </c>
      <c r="G21" s="15" t="inlineStr">
        <is>
          <t>D</t>
        </is>
      </c>
      <c r="H21" s="26" t="inlineStr">
        <is>
          <t>5-Amino-1MQ: 50 mg $60–110</t>
        </is>
      </c>
    </row>
    <row r="22">
      <c r="A22" s="24" t="inlineStr">
        <is>
          <t>AR</t>
        </is>
      </c>
      <c r="B22" s="24" t="inlineStr">
        <is>
          <t>AICAR</t>
        </is>
      </c>
      <c r="C22" s="24" t="inlineStr">
        <is>
          <t>FITNESS</t>
        </is>
      </c>
      <c r="D22" s="24" t="inlineStr">
        <is>
          <t>mg</t>
        </is>
      </c>
      <c r="E22" s="25" t="n">
        <v>0.8</v>
      </c>
      <c r="F22" s="25" t="n">
        <v>1.4</v>
      </c>
      <c r="G22" s="15" t="inlineStr">
        <is>
          <t>D</t>
        </is>
      </c>
      <c r="H22" s="26" t="inlineStr">
        <is>
          <t>AICAR: 50 mg $40–70</t>
        </is>
      </c>
    </row>
    <row r="23">
      <c r="A23" s="24" t="inlineStr">
        <is>
          <t>AD</t>
        </is>
      </c>
      <c r="B23" s="24" t="inlineStr">
        <is>
          <t>AOD-9604</t>
        </is>
      </c>
      <c r="C23" s="24" t="inlineStr">
        <is>
          <t>FITNESS</t>
        </is>
      </c>
      <c r="D23" s="24" t="inlineStr">
        <is>
          <t>mg</t>
        </is>
      </c>
      <c r="E23" s="25" t="n">
        <v>5</v>
      </c>
      <c r="F23" s="25" t="n">
        <v>9</v>
      </c>
      <c r="G23" s="15" t="inlineStr">
        <is>
          <t>D</t>
        </is>
      </c>
      <c r="H23" s="26" t="inlineStr">
        <is>
          <t>Fragmentos lipolíticos: AOD-9604 5 mg $25–45</t>
        </is>
      </c>
    </row>
    <row r="24">
      <c r="A24" s="24" t="inlineStr">
        <is>
          <t>AX</t>
        </is>
      </c>
      <c r="B24" s="24" t="inlineStr">
        <is>
          <t>Adamax</t>
        </is>
      </c>
      <c r="C24" s="24" t="inlineStr">
        <is>
          <t>FITNESS</t>
        </is>
      </c>
      <c r="D24" s="24" t="inlineStr">
        <is>
          <t>mg</t>
        </is>
      </c>
      <c r="E24" s="25" t="n">
        <v>6</v>
      </c>
      <c r="F24" s="25" t="n">
        <v>11</v>
      </c>
      <c r="G24" s="15" t="inlineStr">
        <is>
          <t>D</t>
        </is>
      </c>
      <c r="H24" s="26" t="inlineStr">
        <is>
          <t>Adamax: 10 mg $60–110, oferta escasa</t>
        </is>
      </c>
    </row>
    <row r="25">
      <c r="A25" s="24" t="inlineStr">
        <is>
          <t>APT</t>
        </is>
      </c>
      <c r="B25" s="24" t="inlineStr">
        <is>
          <t>Adipotide</t>
        </is>
      </c>
      <c r="C25" s="24" t="inlineStr">
        <is>
          <t>FITNESS</t>
        </is>
      </c>
      <c r="D25" s="24" t="inlineStr">
        <is>
          <t>mg</t>
        </is>
      </c>
      <c r="E25" s="25" t="n">
        <v>7</v>
      </c>
      <c r="F25" s="25" t="n">
        <v>12</v>
      </c>
      <c r="G25" s="15" t="inlineStr">
        <is>
          <t>D</t>
        </is>
      </c>
      <c r="H25" s="26" t="inlineStr">
        <is>
          <t>Adipotide: oferta escasa, prima sobre AOD</t>
        </is>
      </c>
    </row>
    <row r="26">
      <c r="A26" s="24" t="inlineStr">
        <is>
          <t>RA</t>
        </is>
      </c>
      <c r="B26" s="24" t="inlineStr">
        <is>
          <t>Ara-290</t>
        </is>
      </c>
      <c r="C26" s="24" t="inlineStr">
        <is>
          <t>FITNESS</t>
        </is>
      </c>
      <c r="D26" s="24" t="inlineStr">
        <is>
          <t>mg</t>
        </is>
      </c>
      <c r="E26" s="25" t="n">
        <v>6</v>
      </c>
      <c r="F26" s="25" t="n">
        <v>11</v>
      </c>
      <c r="G26" s="15" t="inlineStr">
        <is>
          <t>D</t>
        </is>
      </c>
      <c r="H26" s="26" t="inlineStr">
        <is>
          <t>Ara-290: 10 mg $60–110, oferta escasa</t>
        </is>
      </c>
    </row>
    <row r="27">
      <c r="A27" s="24" t="inlineStr">
        <is>
          <t>BC</t>
        </is>
      </c>
      <c r="B27" s="24" t="inlineStr">
        <is>
          <t>BPC-157</t>
        </is>
      </c>
      <c r="C27" s="24" t="inlineStr">
        <is>
          <t>FITNESS</t>
        </is>
      </c>
      <c r="D27" s="24" t="inlineStr">
        <is>
          <t>mg</t>
        </is>
      </c>
      <c r="E27" s="25" t="n">
        <v>2.5</v>
      </c>
      <c r="F27" s="25" t="n">
        <v>7</v>
      </c>
      <c r="G27" s="16" t="inlineStr">
        <is>
          <t>V</t>
        </is>
      </c>
      <c r="H27" s="26" t="inlineStr">
        <is>
          <t>peptide.promo · BPC-157 desde $2.46/mg; vial 5 mg $20–35 en peptidesexplorer</t>
        </is>
      </c>
    </row>
    <row r="28">
      <c r="A28" s="24" t="inlineStr">
        <is>
          <t>BB</t>
        </is>
      </c>
      <c r="B28" s="24" t="inlineStr">
        <is>
          <t>BPC-157 + TB-500</t>
        </is>
      </c>
      <c r="C28" s="24" t="inlineStr">
        <is>
          <t>FITNESS</t>
        </is>
      </c>
      <c r="D28" s="24" t="inlineStr">
        <is>
          <t>mg</t>
        </is>
      </c>
      <c r="E28" s="25" t="n">
        <v>2.8</v>
      </c>
      <c r="F28" s="25" t="n">
        <v>7.5</v>
      </c>
      <c r="G28" s="15" t="inlineStr">
        <is>
          <t>D</t>
        </is>
      </c>
      <c r="H28" s="26" t="inlineStr">
        <is>
          <t>Mezcla BPC-157 + TB-500: media de las bandas de sus dos componentes</t>
        </is>
      </c>
    </row>
    <row r="29">
      <c r="A29" s="24" t="inlineStr">
        <is>
          <t>CD</t>
        </is>
      </c>
      <c r="B29" s="24" t="inlineStr">
        <is>
          <t>CJC-1295 (DAC)</t>
        </is>
      </c>
      <c r="C29" s="24" t="inlineStr">
        <is>
          <t>FITNESS</t>
        </is>
      </c>
      <c r="D29" s="24" t="inlineStr">
        <is>
          <t>mg</t>
        </is>
      </c>
      <c r="E29" s="25" t="n">
        <v>8</v>
      </c>
      <c r="F29" s="25" t="n">
        <v>14</v>
      </c>
      <c r="G29" s="15" t="inlineStr">
        <is>
          <t>D</t>
        </is>
      </c>
      <c r="H29" s="26" t="inlineStr">
        <is>
          <t>CJC-1295 con DAC: prima sobre el sin DAC por vida media</t>
        </is>
      </c>
    </row>
    <row r="30">
      <c r="A30" s="24" t="inlineStr">
        <is>
          <t>CN</t>
        </is>
      </c>
      <c r="B30" s="24" t="inlineStr">
        <is>
          <t>CJC-1295 (no DAC)</t>
        </is>
      </c>
      <c r="C30" s="24" t="inlineStr">
        <is>
          <t>FITNESS</t>
        </is>
      </c>
      <c r="D30" s="24" t="inlineStr">
        <is>
          <t>mg</t>
        </is>
      </c>
      <c r="E30" s="25" t="n">
        <v>4</v>
      </c>
      <c r="F30" s="25" t="n">
        <v>9</v>
      </c>
      <c r="G30" s="15" t="inlineStr">
        <is>
          <t>D</t>
        </is>
      </c>
      <c r="H30" s="26" t="inlineStr">
        <is>
          <t>Clase secretagogos GH</t>
        </is>
      </c>
    </row>
    <row r="31">
      <c r="A31" s="24" t="inlineStr">
        <is>
          <t>CP</t>
        </is>
      </c>
      <c r="B31" s="24" t="inlineStr">
        <is>
          <t>CJC-1295 + Ipamorelin</t>
        </is>
      </c>
      <c r="C31" s="24" t="inlineStr">
        <is>
          <t>FITNESS</t>
        </is>
      </c>
      <c r="D31" s="24" t="inlineStr">
        <is>
          <t>mg</t>
        </is>
      </c>
      <c r="E31" s="25" t="n">
        <v>5</v>
      </c>
      <c r="F31" s="25" t="n">
        <v>9.199999999999999</v>
      </c>
      <c r="G31" s="16" t="inlineStr">
        <is>
          <t>V</t>
        </is>
      </c>
      <c r="H31" s="26" t="inlineStr">
        <is>
          <t>accelerate-labs · CJC-1295 5 mg + Ipamorelina 5 mg $91.99</t>
        </is>
      </c>
    </row>
    <row r="32">
      <c r="A32" s="24" t="inlineStr">
        <is>
          <t>CS</t>
        </is>
      </c>
      <c r="B32" s="24" t="inlineStr">
        <is>
          <t>Cagri + Sema</t>
        </is>
      </c>
      <c r="C32" s="24" t="inlineStr">
        <is>
          <t>FITNESS</t>
        </is>
      </c>
      <c r="D32" s="24" t="inlineStr">
        <is>
          <t>mg</t>
        </is>
      </c>
      <c r="E32" s="25" t="n">
        <v>5</v>
      </c>
      <c r="F32" s="25" t="n">
        <v>12</v>
      </c>
      <c r="G32" s="15" t="inlineStr">
        <is>
          <t>D</t>
        </is>
      </c>
      <c r="H32" s="26" t="inlineStr">
        <is>
          <t>Clase GLP-1 combinada (cagri + sema)</t>
        </is>
      </c>
    </row>
    <row r="33">
      <c r="A33" s="24" t="inlineStr">
        <is>
          <t>CGL</t>
        </is>
      </c>
      <c r="B33" s="24" t="inlineStr">
        <is>
          <t>Cagrilintide</t>
        </is>
      </c>
      <c r="C33" s="24" t="inlineStr">
        <is>
          <t>FITNESS</t>
        </is>
      </c>
      <c r="D33" s="24" t="inlineStr">
        <is>
          <t>mg</t>
        </is>
      </c>
      <c r="E33" s="25" t="n">
        <v>5</v>
      </c>
      <c r="F33" s="25" t="n">
        <v>12</v>
      </c>
      <c r="G33" s="15" t="inlineStr">
        <is>
          <t>D</t>
        </is>
      </c>
      <c r="H33" s="26" t="inlineStr">
        <is>
          <t>Clase GLP-1/amilina (cagrilintida)</t>
        </is>
      </c>
    </row>
    <row r="34">
      <c r="A34" s="24" t="inlineStr">
        <is>
          <t>G2</t>
        </is>
      </c>
      <c r="B34" s="24" t="inlineStr">
        <is>
          <t>GHRP-2</t>
        </is>
      </c>
      <c r="C34" s="24" t="inlineStr">
        <is>
          <t>FITNESS</t>
        </is>
      </c>
      <c r="D34" s="24" t="inlineStr">
        <is>
          <t>mg</t>
        </is>
      </c>
      <c r="E34" s="25" t="n">
        <v>4</v>
      </c>
      <c r="F34" s="25" t="n">
        <v>9</v>
      </c>
      <c r="G34" s="15" t="inlineStr">
        <is>
          <t>D</t>
        </is>
      </c>
      <c r="H34" s="26" t="inlineStr">
        <is>
          <t>Clase secretagogos GH</t>
        </is>
      </c>
    </row>
    <row r="35">
      <c r="A35" s="24" t="inlineStr">
        <is>
          <t>G6</t>
        </is>
      </c>
      <c r="B35" s="24" t="inlineStr">
        <is>
          <t>GHRP-6</t>
        </is>
      </c>
      <c r="C35" s="24" t="inlineStr">
        <is>
          <t>FITNESS</t>
        </is>
      </c>
      <c r="D35" s="24" t="inlineStr">
        <is>
          <t>mg</t>
        </is>
      </c>
      <c r="E35" s="25" t="n">
        <v>4</v>
      </c>
      <c r="F35" s="25" t="n">
        <v>9</v>
      </c>
      <c r="G35" s="15" t="inlineStr">
        <is>
          <t>D</t>
        </is>
      </c>
      <c r="H35" s="26" t="inlineStr">
        <is>
          <t>Clase secretagogos GH</t>
        </is>
      </c>
    </row>
    <row r="36">
      <c r="A36" s="24" t="inlineStr">
        <is>
          <t>H</t>
        </is>
      </c>
      <c r="B36" s="24" t="inlineStr">
        <is>
          <t>HGH 191AA</t>
        </is>
      </c>
      <c r="C36" s="24" t="inlineStr">
        <is>
          <t>FITNESS</t>
        </is>
      </c>
      <c r="D36" s="24" t="inlineStr">
        <is>
          <t>iu</t>
        </is>
      </c>
      <c r="E36" s="25" t="n">
        <v>2.5</v>
      </c>
      <c r="F36" s="25" t="n">
        <v>4.5</v>
      </c>
      <c r="G36" s="15" t="inlineStr">
        <is>
          <t>D</t>
        </is>
      </c>
      <c r="H36" s="26" t="inlineStr">
        <is>
          <t>HGH 191AA por UI: 10 iu $25–45</t>
        </is>
      </c>
    </row>
    <row r="37">
      <c r="A37" s="24" t="inlineStr">
        <is>
          <t>HX</t>
        </is>
      </c>
      <c r="B37" s="24" t="inlineStr">
        <is>
          <t>Hexarelin</t>
        </is>
      </c>
      <c r="C37" s="24" t="inlineStr">
        <is>
          <t>FITNESS</t>
        </is>
      </c>
      <c r="D37" s="24" t="inlineStr">
        <is>
          <t>mg</t>
        </is>
      </c>
      <c r="E37" s="25" t="n">
        <v>4.5</v>
      </c>
      <c r="F37" s="25" t="n">
        <v>10</v>
      </c>
      <c r="G37" s="15" t="inlineStr">
        <is>
          <t>D</t>
        </is>
      </c>
      <c r="H37" s="26" t="inlineStr">
        <is>
          <t>Clase secretagogos GH, prima por potencia y menor oferta</t>
        </is>
      </c>
    </row>
    <row r="38">
      <c r="A38" s="24" t="inlineStr">
        <is>
          <t>IG</t>
        </is>
      </c>
      <c r="B38" s="24" t="inlineStr">
        <is>
          <t>IGF-1 LR3</t>
        </is>
      </c>
      <c r="C38" s="24" t="inlineStr">
        <is>
          <t>FITNESS</t>
        </is>
      </c>
      <c r="D38" s="24" t="inlineStr">
        <is>
          <t>mg</t>
        </is>
      </c>
      <c r="E38" s="25" t="n">
        <v>40</v>
      </c>
      <c r="F38" s="25" t="n">
        <v>80</v>
      </c>
      <c r="G38" s="15" t="inlineStr">
        <is>
          <t>D</t>
        </is>
      </c>
      <c r="H38" s="26" t="inlineStr">
        <is>
          <t>IGF-1 LR3: vial de 1 mg $40–80, mercado estrecho</t>
        </is>
      </c>
    </row>
    <row r="39">
      <c r="A39" s="24" t="inlineStr">
        <is>
          <t>IPA</t>
        </is>
      </c>
      <c r="B39" s="24" t="inlineStr">
        <is>
          <t>Ipamorelin</t>
        </is>
      </c>
      <c r="C39" s="24" t="inlineStr">
        <is>
          <t>FITNESS</t>
        </is>
      </c>
      <c r="D39" s="24" t="inlineStr">
        <is>
          <t>mg</t>
        </is>
      </c>
      <c r="E39" s="25" t="n">
        <v>4</v>
      </c>
      <c r="F39" s="25" t="n">
        <v>9</v>
      </c>
      <c r="G39" s="15" t="inlineStr">
        <is>
          <t>D</t>
        </is>
      </c>
      <c r="H39" s="26" t="inlineStr">
        <is>
          <t>Clase secretagogos GH: vial 5 mg $20–45 (peptidepros, directpeptides)</t>
        </is>
      </c>
    </row>
    <row r="40">
      <c r="A40" s="24" t="inlineStr">
        <is>
          <t>LC</t>
        </is>
      </c>
      <c r="B40" s="24" t="inlineStr">
        <is>
          <t>L-Carnitine</t>
        </is>
      </c>
      <c r="C40" s="24" t="inlineStr">
        <is>
          <t>FITNESS</t>
        </is>
      </c>
      <c r="D40" s="24" t="inlineStr">
        <is>
          <t>mg</t>
        </is>
      </c>
      <c r="E40" s="25" t="n">
        <v>0.04</v>
      </c>
      <c r="F40" s="25" t="n">
        <v>0.075</v>
      </c>
      <c r="G40" s="15" t="inlineStr">
        <is>
          <t>D</t>
        </is>
      </c>
      <c r="H40" s="26" t="inlineStr">
        <is>
          <t>L-Carnitina: 600 mg $25–45, es materia prima</t>
        </is>
      </c>
    </row>
    <row r="41">
      <c r="A41" s="24" t="inlineStr">
        <is>
          <t>MIC</t>
        </is>
      </c>
      <c r="B41" s="24" t="inlineStr">
        <is>
          <t>Lipo-C + B12</t>
        </is>
      </c>
      <c r="C41" s="24" t="inlineStr">
        <is>
          <t>FITNESS</t>
        </is>
      </c>
      <c r="D41" s="24" t="inlineStr">
        <is>
          <t>ml</t>
        </is>
      </c>
      <c r="E41" s="25" t="n">
        <v>6</v>
      </c>
      <c r="F41" s="25" t="n">
        <v>12</v>
      </c>
      <c r="G41" s="15" t="inlineStr">
        <is>
          <t>D</t>
        </is>
      </c>
      <c r="H41" s="26" t="inlineStr">
        <is>
          <t>Lipo-C + B12 por ml: vial de 10 ml $60–120</t>
        </is>
      </c>
    </row>
    <row r="42">
      <c r="A42" s="24" t="inlineStr">
        <is>
          <t>MS</t>
        </is>
      </c>
      <c r="B42" s="24" t="inlineStr">
        <is>
          <t>MOTS-c</t>
        </is>
      </c>
      <c r="C42" s="24" t="inlineStr">
        <is>
          <t>FITNESS</t>
        </is>
      </c>
      <c r="D42" s="24" t="inlineStr">
        <is>
          <t>mg</t>
        </is>
      </c>
      <c r="E42" s="25" t="n">
        <v>3</v>
      </c>
      <c r="F42" s="25" t="n">
        <v>5.5</v>
      </c>
      <c r="G42" s="15" t="inlineStr">
        <is>
          <t>D</t>
        </is>
      </c>
      <c r="H42" s="26" t="inlineStr">
        <is>
          <t>MOTS-c: 10 mg $30–55</t>
        </is>
      </c>
    </row>
    <row r="43">
      <c r="A43" s="24" t="inlineStr">
        <is>
          <t>MZ</t>
        </is>
      </c>
      <c r="B43" s="24" t="inlineStr">
        <is>
          <t>Mazdutide</t>
        </is>
      </c>
      <c r="C43" s="24" t="inlineStr">
        <is>
          <t>FITNESS</t>
        </is>
      </c>
      <c r="D43" s="24" t="inlineStr">
        <is>
          <t>mg</t>
        </is>
      </c>
      <c r="E43" s="25" t="n">
        <v>5</v>
      </c>
      <c r="F43" s="25" t="n">
        <v>12</v>
      </c>
      <c r="G43" s="15" t="inlineStr">
        <is>
          <t>D</t>
        </is>
      </c>
      <c r="H43" s="26" t="inlineStr">
        <is>
          <t>Clase GLP-1 nueva (mazdutida): menos oferta que semaglutida</t>
        </is>
      </c>
    </row>
    <row r="44">
      <c r="A44" s="24" t="inlineStr">
        <is>
          <t>RT</t>
        </is>
      </c>
      <c r="B44" s="24" t="inlineStr">
        <is>
          <t>Retatrutide</t>
        </is>
      </c>
      <c r="C44" s="24" t="inlineStr">
        <is>
          <t>FITNESS</t>
        </is>
      </c>
      <c r="D44" s="24" t="inlineStr">
        <is>
          <t>mg</t>
        </is>
      </c>
      <c r="E44" s="25" t="n">
        <v>4.8</v>
      </c>
      <c r="F44" s="25" t="n">
        <v>10</v>
      </c>
      <c r="G44" s="16" t="inlineStr">
        <is>
          <t>V</t>
        </is>
      </c>
      <c r="H44" s="26" t="inlineStr">
        <is>
          <t>peptilabresearch · retatrutida 10 mg $56.40; vial 5 mg $24–50</t>
        </is>
      </c>
    </row>
    <row r="45">
      <c r="A45" s="24" t="inlineStr">
        <is>
          <t>2S</t>
        </is>
      </c>
      <c r="B45" s="24" t="inlineStr">
        <is>
          <t>SS-31</t>
        </is>
      </c>
      <c r="C45" s="24" t="inlineStr">
        <is>
          <t>FITNESS</t>
        </is>
      </c>
      <c r="D45" s="24" t="inlineStr">
        <is>
          <t>mg</t>
        </is>
      </c>
      <c r="E45" s="25" t="n">
        <v>4</v>
      </c>
      <c r="F45" s="25" t="n">
        <v>7</v>
      </c>
      <c r="G45" s="15" t="inlineStr">
        <is>
          <t>D</t>
        </is>
      </c>
      <c r="H45" s="26" t="inlineStr">
        <is>
          <t>SS-31: 10 mg $40–70</t>
        </is>
      </c>
    </row>
    <row r="46">
      <c r="A46" s="24" t="inlineStr">
        <is>
          <t>SM</t>
        </is>
      </c>
      <c r="B46" s="24" t="inlineStr">
        <is>
          <t>Semaglutide</t>
        </is>
      </c>
      <c r="C46" s="24" t="inlineStr">
        <is>
          <t>FITNESS</t>
        </is>
      </c>
      <c r="D46" s="24" t="inlineStr">
        <is>
          <t>mg</t>
        </is>
      </c>
      <c r="E46" s="25" t="n">
        <v>2.75</v>
      </c>
      <c r="F46" s="25" t="n">
        <v>8</v>
      </c>
      <c r="G46" s="16" t="inlineStr">
        <is>
          <t>V</t>
        </is>
      </c>
      <c r="H46" s="26" t="inlineStr">
        <is>
          <t>peptide.promo · semaglutida desde $2.75/mg; vial 5 mg $20–40</t>
        </is>
      </c>
    </row>
    <row r="47">
      <c r="A47" s="24" t="inlineStr">
        <is>
          <t>SMO</t>
        </is>
      </c>
      <c r="B47" s="24" t="inlineStr">
        <is>
          <t>Sermorelin</t>
        </is>
      </c>
      <c r="C47" s="24" t="inlineStr">
        <is>
          <t>FITNESS</t>
        </is>
      </c>
      <c r="D47" s="24" t="inlineStr">
        <is>
          <t>mg</t>
        </is>
      </c>
      <c r="E47" s="25" t="n">
        <v>4</v>
      </c>
      <c r="F47" s="25" t="n">
        <v>9</v>
      </c>
      <c r="G47" s="15" t="inlineStr">
        <is>
          <t>D</t>
        </is>
      </c>
      <c r="H47" s="26" t="inlineStr">
        <is>
          <t>Clase secretagogos GH</t>
        </is>
      </c>
    </row>
    <row r="48">
      <c r="A48" s="24" t="inlineStr">
        <is>
          <t>TB</t>
        </is>
      </c>
      <c r="B48" s="24" t="inlineStr">
        <is>
          <t>TB-500</t>
        </is>
      </c>
      <c r="C48" s="24" t="inlineStr">
        <is>
          <t>FITNESS</t>
        </is>
      </c>
      <c r="D48" s="24" t="inlineStr">
        <is>
          <t>mg</t>
        </is>
      </c>
      <c r="E48" s="25" t="n">
        <v>3</v>
      </c>
      <c r="F48" s="25" t="n">
        <v>8</v>
      </c>
      <c r="G48" s="16" t="inlineStr">
        <is>
          <t>V</t>
        </is>
      </c>
      <c r="H48" s="26" t="inlineStr">
        <is>
          <t>peptilabresearch · TB-500 10 mg $29.99 (lista $49.99)</t>
        </is>
      </c>
    </row>
    <row r="49">
      <c r="A49" s="24" t="inlineStr">
        <is>
          <t>TSM</t>
        </is>
      </c>
      <c r="B49" s="24" t="inlineStr">
        <is>
          <t>Tesamorelin</t>
        </is>
      </c>
      <c r="C49" s="24" t="inlineStr">
        <is>
          <t>FITNESS</t>
        </is>
      </c>
      <c r="D49" s="24" t="inlineStr">
        <is>
          <t>mg</t>
        </is>
      </c>
      <c r="E49" s="25" t="n">
        <v>4</v>
      </c>
      <c r="F49" s="25" t="n">
        <v>9</v>
      </c>
      <c r="G49" s="15" t="inlineStr">
        <is>
          <t>D</t>
        </is>
      </c>
      <c r="H49" s="26" t="inlineStr">
        <is>
          <t>Clase secretagogos GH</t>
        </is>
      </c>
    </row>
    <row r="50">
      <c r="A50" s="24" t="inlineStr">
        <is>
          <t>TR</t>
        </is>
      </c>
      <c r="B50" s="24" t="inlineStr">
        <is>
          <t>Tirzepatide</t>
        </is>
      </c>
      <c r="C50" s="24" t="inlineStr">
        <is>
          <t>FITNESS</t>
        </is>
      </c>
      <c r="D50" s="24" t="inlineStr">
        <is>
          <t>mg</t>
        </is>
      </c>
      <c r="E50" s="25" t="n">
        <v>3.09</v>
      </c>
      <c r="F50" s="25" t="n">
        <v>9</v>
      </c>
      <c r="G50" s="16" t="inlineStr">
        <is>
          <t>V</t>
        </is>
      </c>
      <c r="H50" s="26" t="inlineStr">
        <is>
          <t>peptide.promo · tirzepatida desde $3.09/mg; vial 5 mg $20–45</t>
        </is>
      </c>
    </row>
    <row r="51">
      <c r="A51" s="24" t="inlineStr">
        <is>
          <t>CTL</t>
        </is>
      </c>
      <c r="B51" s="24" t="inlineStr">
        <is>
          <t>Cartalax</t>
        </is>
      </c>
      <c r="C51" s="24" t="inlineStr">
        <is>
          <t>LONGEVITY</t>
        </is>
      </c>
      <c r="D51" s="24" t="inlineStr">
        <is>
          <t>mg</t>
        </is>
      </c>
      <c r="E51" s="25" t="n">
        <v>3.5</v>
      </c>
      <c r="F51" s="25" t="n">
        <v>6.5</v>
      </c>
      <c r="G51" s="15" t="inlineStr">
        <is>
          <t>D</t>
        </is>
      </c>
      <c r="H51" s="26" t="inlineStr">
        <is>
          <t>Bioreguladores (cartalax): 20 mg $70–130</t>
        </is>
      </c>
    </row>
    <row r="52">
      <c r="A52" s="24" t="inlineStr">
        <is>
          <t>DS</t>
        </is>
      </c>
      <c r="B52" s="24" t="inlineStr">
        <is>
          <t>DSIP</t>
        </is>
      </c>
      <c r="C52" s="24" t="inlineStr">
        <is>
          <t>LONGEVITY</t>
        </is>
      </c>
      <c r="D52" s="24" t="inlineStr">
        <is>
          <t>mg</t>
        </is>
      </c>
      <c r="E52" s="25" t="n">
        <v>4</v>
      </c>
      <c r="F52" s="25" t="n">
        <v>7</v>
      </c>
      <c r="G52" s="15" t="inlineStr">
        <is>
          <t>D</t>
        </is>
      </c>
      <c r="H52" s="26" t="inlineStr">
        <is>
          <t>DSIP: 5 mg $20–35</t>
        </is>
      </c>
    </row>
    <row r="53">
      <c r="A53" s="24" t="inlineStr">
        <is>
          <t>DX</t>
        </is>
      </c>
      <c r="B53" s="24" t="inlineStr">
        <is>
          <t>Dihexa</t>
        </is>
      </c>
      <c r="C53" s="24" t="inlineStr">
        <is>
          <t>LONGEVITY</t>
        </is>
      </c>
      <c r="D53" s="24" t="inlineStr">
        <is>
          <t>mg</t>
        </is>
      </c>
      <c r="E53" s="25" t="n">
        <v>8</v>
      </c>
      <c r="F53" s="25" t="n">
        <v>15</v>
      </c>
      <c r="G53" s="15" t="inlineStr">
        <is>
          <t>D</t>
        </is>
      </c>
      <c r="H53" s="26" t="inlineStr">
        <is>
          <t>Dihexa: 5 mg $40–75</t>
        </is>
      </c>
    </row>
    <row r="54">
      <c r="A54" s="24" t="inlineStr">
        <is>
          <t>ET</t>
        </is>
      </c>
      <c r="B54" s="24" t="inlineStr">
        <is>
          <t>Epithalon</t>
        </is>
      </c>
      <c r="C54" s="24" t="inlineStr">
        <is>
          <t>LONGEVITY</t>
        </is>
      </c>
      <c r="D54" s="24" t="inlineStr">
        <is>
          <t>mg</t>
        </is>
      </c>
      <c r="E54" s="25" t="n">
        <v>1.38</v>
      </c>
      <c r="F54" s="25" t="n">
        <v>3</v>
      </c>
      <c r="G54" s="16" t="inlineStr">
        <is>
          <t>V</t>
        </is>
      </c>
      <c r="H54" s="26" t="inlineStr">
        <is>
          <t>peptilabresearch · epitalón 10 mg $13.79 (lista $22.99)</t>
        </is>
      </c>
    </row>
    <row r="55">
      <c r="A55" s="24" t="inlineStr">
        <is>
          <t>F4</t>
        </is>
      </c>
      <c r="B55" s="24" t="inlineStr">
        <is>
          <t>FOXO4-DRI</t>
        </is>
      </c>
      <c r="C55" s="24" t="inlineStr">
        <is>
          <t>LONGEVITY</t>
        </is>
      </c>
      <c r="D55" s="24" t="inlineStr">
        <is>
          <t>mg</t>
        </is>
      </c>
      <c r="E55" s="25" t="n">
        <v>40</v>
      </c>
      <c r="F55" s="25" t="n">
        <v>75</v>
      </c>
      <c r="G55" s="15" t="inlineStr">
        <is>
          <t>D</t>
        </is>
      </c>
      <c r="H55" s="26" t="inlineStr">
        <is>
          <t>FOXO4-DRI: 2 mg $80–150, el más caro del catálogo</t>
        </is>
      </c>
    </row>
    <row r="56">
      <c r="A56" s="24" t="inlineStr">
        <is>
          <t>KS</t>
        </is>
      </c>
      <c r="B56" s="24" t="inlineStr">
        <is>
          <t>KissPeptin-10</t>
        </is>
      </c>
      <c r="C56" s="24" t="inlineStr">
        <is>
          <t>LONGEVITY</t>
        </is>
      </c>
      <c r="D56" s="24" t="inlineStr">
        <is>
          <t>mg</t>
        </is>
      </c>
      <c r="E56" s="25" t="n">
        <v>5</v>
      </c>
      <c r="F56" s="25" t="n">
        <v>10</v>
      </c>
      <c r="G56" s="15" t="inlineStr">
        <is>
          <t>D</t>
        </is>
      </c>
      <c r="H56" s="26" t="inlineStr">
        <is>
          <t>Kisspeptina-10: 5 mg $25–50</t>
        </is>
      </c>
    </row>
    <row r="57">
      <c r="A57" s="24" t="inlineStr">
        <is>
          <t>ML</t>
        </is>
      </c>
      <c r="B57" s="24" t="inlineStr">
        <is>
          <t>Melatonin</t>
        </is>
      </c>
      <c r="C57" s="24" t="inlineStr">
        <is>
          <t>LONGEVITY</t>
        </is>
      </c>
      <c r="D57" s="24" t="inlineStr">
        <is>
          <t>mg</t>
        </is>
      </c>
      <c r="E57" s="25" t="n">
        <v>1.5</v>
      </c>
      <c r="F57" s="25" t="n">
        <v>3</v>
      </c>
      <c r="G57" s="15" t="inlineStr">
        <is>
          <t>D</t>
        </is>
      </c>
      <c r="H57" s="26" t="inlineStr">
        <is>
          <t>Melatonina: 10 mg $15–30</t>
        </is>
      </c>
    </row>
    <row r="58">
      <c r="A58" s="24" t="inlineStr">
        <is>
          <t>NJ</t>
        </is>
      </c>
      <c r="B58" s="24" t="inlineStr">
        <is>
          <t>NAD+</t>
        </is>
      </c>
      <c r="C58" s="24" t="inlineStr">
        <is>
          <t>LONGEVITY</t>
        </is>
      </c>
      <c r="D58" s="24" t="inlineStr">
        <is>
          <t>mg</t>
        </is>
      </c>
      <c r="E58" s="25" t="n">
        <v>0.14</v>
      </c>
      <c r="F58" s="25" t="n">
        <v>0.3</v>
      </c>
      <c r="G58" s="16" t="inlineStr">
        <is>
          <t>V</t>
        </is>
      </c>
      <c r="H58" s="26" t="inlineStr">
        <is>
          <t>peptide.promo · NAD+ ≈ $0.14/mg</t>
        </is>
      </c>
    </row>
    <row r="59">
      <c r="A59" s="24" t="inlineStr">
        <is>
          <t>PI</t>
        </is>
      </c>
      <c r="B59" s="24" t="inlineStr">
        <is>
          <t>Pinealon</t>
        </is>
      </c>
      <c r="C59" s="24" t="inlineStr">
        <is>
          <t>LONGEVITY</t>
        </is>
      </c>
      <c r="D59" s="24" t="inlineStr">
        <is>
          <t>mg</t>
        </is>
      </c>
      <c r="E59" s="25" t="n">
        <v>5</v>
      </c>
      <c r="F59" s="25" t="n">
        <v>9</v>
      </c>
      <c r="G59" s="15" t="inlineStr">
        <is>
          <t>D</t>
        </is>
      </c>
      <c r="H59" s="26" t="inlineStr">
        <is>
          <t>Bioreguladores (pinealón): 10 mg $50–90</t>
        </is>
      </c>
    </row>
    <row r="60">
      <c r="A60" s="24" t="inlineStr">
        <is>
          <t>SK</t>
        </is>
      </c>
      <c r="B60" s="24" t="inlineStr">
        <is>
          <t>Selank</t>
        </is>
      </c>
      <c r="C60" s="24" t="inlineStr">
        <is>
          <t>LONGEVITY</t>
        </is>
      </c>
      <c r="D60" s="24" t="inlineStr">
        <is>
          <t>mg</t>
        </is>
      </c>
      <c r="E60" s="25" t="n">
        <v>4</v>
      </c>
      <c r="F60" s="25" t="n">
        <v>8</v>
      </c>
      <c r="G60" s="15" t="inlineStr">
        <is>
          <t>D</t>
        </is>
      </c>
      <c r="H60" s="26" t="inlineStr">
        <is>
          <t>Nootrópicos peptídicos (selank): 5 mg $20–40</t>
        </is>
      </c>
    </row>
    <row r="61">
      <c r="A61" s="24" t="inlineStr">
        <is>
          <t>SX</t>
        </is>
      </c>
      <c r="B61" s="24" t="inlineStr">
        <is>
          <t>Semax</t>
        </is>
      </c>
      <c r="C61" s="24" t="inlineStr">
        <is>
          <t>LONGEVITY</t>
        </is>
      </c>
      <c r="D61" s="24" t="inlineStr">
        <is>
          <t>mg</t>
        </is>
      </c>
      <c r="E61" s="25" t="n">
        <v>4</v>
      </c>
      <c r="F61" s="25" t="n">
        <v>8</v>
      </c>
      <c r="G61" s="15" t="inlineStr">
        <is>
          <t>D</t>
        </is>
      </c>
      <c r="H61" s="26" t="inlineStr">
        <is>
          <t>Nootrópicos peptídicos (semax): 5 mg $20–40</t>
        </is>
      </c>
    </row>
    <row r="62">
      <c r="A62" s="24" t="inlineStr">
        <is>
          <t>TY</t>
        </is>
      </c>
      <c r="B62" s="24" t="inlineStr">
        <is>
          <t>Thymalin</t>
        </is>
      </c>
      <c r="C62" s="24" t="inlineStr">
        <is>
          <t>LONGEVITY</t>
        </is>
      </c>
      <c r="D62" s="24" t="inlineStr">
        <is>
          <t>mg</t>
        </is>
      </c>
      <c r="E62" s="25" t="n">
        <v>4.5</v>
      </c>
      <c r="F62" s="25" t="n">
        <v>8.5</v>
      </c>
      <c r="G62" s="15" t="inlineStr">
        <is>
          <t>D</t>
        </is>
      </c>
      <c r="H62" s="26" t="inlineStr">
        <is>
          <t>Timalina: 10 mg $45–85</t>
        </is>
      </c>
    </row>
    <row r="63">
      <c r="A63" s="24" t="inlineStr">
        <is>
          <t>Ta1</t>
        </is>
      </c>
      <c r="B63" s="24" t="inlineStr">
        <is>
          <t>Thymosin Alpha-1</t>
        </is>
      </c>
      <c r="C63" s="24" t="inlineStr">
        <is>
          <t>LONGEVITY</t>
        </is>
      </c>
      <c r="D63" s="24" t="inlineStr">
        <is>
          <t>mg</t>
        </is>
      </c>
      <c r="E63" s="25" t="n">
        <v>7</v>
      </c>
      <c r="F63" s="25" t="n">
        <v>13</v>
      </c>
      <c r="G63" s="15" t="inlineStr">
        <is>
          <t>D</t>
        </is>
      </c>
      <c r="H63" s="26" t="inlineStr">
        <is>
          <t>Timosina alfa-1: 5 mg $35–65</t>
        </is>
      </c>
    </row>
    <row r="64">
      <c r="A64" s="24" t="inlineStr">
        <is>
          <t>B12</t>
        </is>
      </c>
      <c r="B64" s="24" t="inlineStr">
        <is>
          <t>Vitamin B12</t>
        </is>
      </c>
      <c r="C64" s="24" t="inlineStr">
        <is>
          <t>LONGEVITY</t>
        </is>
      </c>
      <c r="D64" s="24" t="inlineStr">
        <is>
          <t>mg</t>
        </is>
      </c>
      <c r="E64" s="25" t="n">
        <v>15</v>
      </c>
      <c r="F64" s="25" t="n">
        <v>30</v>
      </c>
      <c r="G64" s="15" t="inlineStr">
        <is>
          <t>D</t>
        </is>
      </c>
      <c r="H64" s="26" t="inlineStr">
        <is>
          <t>Vitamina B12 por vial de 1 mg/ml: $15–30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78" customWidth="1" min="3" max="3"/>
    <col width="60" customWidth="1" min="4" max="4"/>
  </cols>
  <sheetData>
    <row r="2">
      <c r="B2" s="5" t="inlineStr">
        <is>
          <t>FUENTES</t>
        </is>
      </c>
    </row>
    <row r="3">
      <c r="B3" s="6" t="inlineStr">
        <is>
          <t>Cada enlace consultado y qué dato salió de él.  Consultado el 02.08.2026.  Los precios de este mercado se mueven semana a semana: conviene volver cada trimestre.</t>
        </is>
      </c>
    </row>
    <row r="5" ht="30" customHeight="1">
      <c r="A5" s="7" t="inlineStr">
        <is>
          <t>MERCADO</t>
        </is>
      </c>
      <c r="B5" s="7" t="inlineStr">
        <is>
          <t>FUENTE</t>
        </is>
      </c>
      <c r="C5" s="7" t="inlineStr">
        <is>
          <t>QUÉ DATO DIO</t>
        </is>
      </c>
      <c r="D5" s="7" t="inlineStr">
        <is>
          <t>ENLACE</t>
        </is>
      </c>
    </row>
    <row r="6">
      <c r="A6" s="24" t="inlineStr">
        <is>
          <t>USA</t>
        </is>
      </c>
      <c r="B6" s="24" t="inlineStr">
        <is>
          <t>peptide.promo</t>
        </is>
      </c>
      <c r="C6" s="26" t="inlineStr">
        <is>
          <t>Comparador $/mg. Semaglutida $2.75/mg · tirzepatida $3.09/mg · BPC-157 $2.46/mg · GHK-Cu $0.50/mg · NAD+ $0.14/mg</t>
        </is>
      </c>
      <c r="D6" s="27" t="inlineStr">
        <is>
          <t>https://peptide.promo/</t>
        </is>
      </c>
    </row>
    <row r="7">
      <c r="A7" s="24" t="inlineStr">
        <is>
          <t>USA</t>
        </is>
      </c>
      <c r="B7" s="24" t="inlineStr">
        <is>
          <t>PeptidesExplorer</t>
        </is>
      </c>
      <c r="C7" s="26" t="inlineStr">
        <is>
          <t>Rangos por vial: semaglutida 5 mg $20–40 · tirzepatida 5 mg $20–45 · retatrutida 5 mg $24–50 · BPC-157 5 mg $20–35 · GHK-Cu 50 mg $20–40</t>
        </is>
      </c>
      <c r="D7" s="27" t="inlineStr">
        <is>
          <t>https://peptidesexplorer.com/blog/how-much-do-peptides-cost</t>
        </is>
      </c>
    </row>
    <row r="8">
      <c r="A8" s="24" t="inlineStr">
        <is>
          <t>USA</t>
        </is>
      </c>
      <c r="B8" s="24" t="inlineStr">
        <is>
          <t>PeptiLab Research</t>
        </is>
      </c>
      <c r="C8" s="26" t="inlineStr">
        <is>
          <t>BPC-157 10 mg $22.79 · TB-500 10 mg $29.99 · epitalón 10 mg $13.79 · retatrutida 10 mg $56.40 (con descuento)</t>
        </is>
      </c>
      <c r="D8" s="27" t="inlineStr">
        <is>
          <t>https://peptilabresearch.com/shop/</t>
        </is>
      </c>
    </row>
    <row r="9">
      <c r="A9" s="24" t="inlineStr">
        <is>
          <t>USA</t>
        </is>
      </c>
      <c r="B9" s="24" t="inlineStr">
        <is>
          <t>peptideprices.net</t>
        </is>
      </c>
      <c r="C9" s="26" t="inlineStr">
        <is>
          <t>Comparador $/10 mg sobre 51 vendedores, con COA y fecha de comprobación por listado</t>
        </is>
      </c>
      <c r="D9" s="27" t="inlineStr">
        <is>
          <t>https://peptideprices.net/</t>
        </is>
      </c>
    </row>
    <row r="10">
      <c r="A10" s="24" t="inlineStr">
        <is>
          <t>USA</t>
        </is>
      </c>
      <c r="B10" s="24" t="inlineStr">
        <is>
          <t>PepsTracker</t>
        </is>
      </c>
      <c r="C10" s="26" t="inlineStr">
        <is>
          <t>Comparador sobre 24 vendedores; volatilidad semanal de tirzepatida y retatrutida</t>
        </is>
      </c>
      <c r="D10" s="27" t="inlineStr">
        <is>
          <t>https://pepstracker.com/</t>
        </is>
      </c>
    </row>
    <row r="11">
      <c r="A11" s="24" t="inlineStr">
        <is>
          <t>USA</t>
        </is>
      </c>
      <c r="B11" s="24" t="inlineStr">
        <is>
          <t>The Peptide Catalog</t>
        </is>
      </c>
      <c r="C11" s="26" t="inlineStr">
        <is>
          <t>Índice de precios trimestral, tendencia a 90 días</t>
        </is>
      </c>
      <c r="D11" s="27" t="inlineStr">
        <is>
          <t>https://thepeptidecatalog.com/articles/peptide-pricing-report-q1-2026</t>
        </is>
      </c>
    </row>
    <row r="12">
      <c r="A12" s="24" t="inlineStr">
        <is>
          <t>USA</t>
        </is>
      </c>
      <c r="B12" s="24" t="inlineStr">
        <is>
          <t>PeptideDeck</t>
        </is>
      </c>
      <c r="C12" s="26" t="inlineStr">
        <is>
          <t>BPC-157 $49–100 por vial en 2026; $5–8/mg de vendedor legítimo; por debajo de $3/mg es señal de alarma</t>
        </is>
      </c>
      <c r="D12" s="27" t="inlineStr">
        <is>
          <t>https://www.peptidedeck.com/blog/bpc-157-for-sale</t>
        </is>
      </c>
    </row>
    <row r="13">
      <c r="A13" s="24" t="inlineStr">
        <is>
          <t>USA</t>
        </is>
      </c>
      <c r="B13" s="24" t="inlineStr">
        <is>
          <t>Biotech Peptides</t>
        </is>
      </c>
      <c r="C13" s="26" t="inlineStr">
        <is>
          <t>Precio de lista de BPC-157 5 mg y mezcla CJC-1295 + Ipamorelina 10 mg</t>
        </is>
      </c>
      <c r="D13" s="27" t="inlineStr">
        <is>
          <t>https://biotechpeptides.com/product/bpc-157/</t>
        </is>
      </c>
    </row>
    <row r="14">
      <c r="A14" s="24" t="inlineStr">
        <is>
          <t>USA</t>
        </is>
      </c>
      <c r="B14" s="24" t="inlineStr">
        <is>
          <t>Nationwide Peptides</t>
        </is>
      </c>
      <c r="C14" s="26" t="inlineStr">
        <is>
          <t>Melanotán 2: $22–30 y $47–64 según presentación</t>
        </is>
      </c>
      <c r="D14" s="27" t="inlineStr">
        <is>
          <t>https://www.nationwidepeptides.com/products/melanotan-2/</t>
        </is>
      </c>
    </row>
    <row r="15">
      <c r="A15" s="24" t="inlineStr">
        <is>
          <t>USA</t>
        </is>
      </c>
      <c r="B15" s="24" t="inlineStr">
        <is>
          <t>NEXAPH</t>
        </is>
      </c>
      <c r="C15" s="26" t="inlineStr">
        <is>
          <t>PT-141 $160 — techo del mercado, útil como referencia superior</t>
        </is>
      </c>
      <c r="D15" s="27" t="inlineStr">
        <is>
          <t>https://nexaph.com/</t>
        </is>
      </c>
    </row>
    <row r="16">
      <c r="A16" s="24" t="inlineStr">
        <is>
          <t>USA</t>
        </is>
      </c>
      <c r="B16" s="24" t="inlineStr">
        <is>
          <t>Peptide Pros</t>
        </is>
      </c>
      <c r="C16" s="26" t="inlineStr">
        <is>
          <t>Catálogo de secretagogos GH: GHRP-2 5 mg, GHRP-6 5 mg, hexarelina 2 mg, ipamorelina 2 mg, sermorelina 2 mg, tesamorelina 5 mg</t>
        </is>
      </c>
      <c r="D16" s="27" t="inlineStr">
        <is>
          <t>https://www.peptidepros.net/</t>
        </is>
      </c>
    </row>
    <row r="17">
      <c r="A17" s="24" t="inlineStr">
        <is>
          <t>USA</t>
        </is>
      </c>
      <c r="B17" s="24" t="inlineStr">
        <is>
          <t>Direct Peptides</t>
        </is>
      </c>
      <c r="C17" s="26" t="inlineStr">
        <is>
          <t>Catálogo de secretagogos y de la línea estética (GHK-Cu, KPV, melanotán 2, oxitocina, PT-141)</t>
        </is>
      </c>
      <c r="D17" s="27" t="inlineStr">
        <is>
          <t>https://directpeptides.com/products</t>
        </is>
      </c>
    </row>
    <row r="18">
      <c r="A18" s="24" t="inlineStr">
        <is>
          <t>USA</t>
        </is>
      </c>
      <c r="B18" s="24" t="inlineStr">
        <is>
          <t>Limitless Labs</t>
        </is>
      </c>
      <c r="C18" s="26" t="inlineStr">
        <is>
          <t>Kits: semaglutida desde $153.13 (5–30 mg) · tirzepatida desde $175 (5–60 mg) · retatrutida desde $218.75 (5–60 mg)</t>
        </is>
      </c>
      <c r="D18" s="27" t="inlineStr">
        <is>
          <t>https://www.limitlesslabs.us/us</t>
        </is>
      </c>
    </row>
    <row r="19">
      <c r="A19" s="24" t="inlineStr">
        <is>
          <t>México</t>
        </is>
      </c>
      <c r="B19" s="24" t="inlineStr">
        <is>
          <t>EXOMA Peptides</t>
        </is>
      </c>
      <c r="C19" s="26" t="inlineStr">
        <is>
          <t>Epitalón $700 · GHK-Cu $520 · BPC-157 desde $610 · BPC-157+TB-500 $1,399 · GLOW $2,090 · BPC+TB+KPV $2,999 MXN</t>
        </is>
      </c>
      <c r="D19" s="27" t="inlineStr">
        <is>
          <t>https://exomapeptides.mx/comprar-peptidos-mexico</t>
        </is>
      </c>
    </row>
    <row r="20">
      <c r="A20" s="24" t="inlineStr">
        <is>
          <t>México</t>
        </is>
      </c>
      <c r="B20" s="24" t="inlineStr">
        <is>
          <t>ZELARA</t>
        </is>
      </c>
      <c r="C20" s="26" t="inlineStr">
        <is>
          <t>BPC-157 5 mg $673 MXN · TB-500 5 mg $1,449 MXN, ambos con COA por lote</t>
        </is>
      </c>
      <c r="D20" s="27" t="inlineStr">
        <is>
          <t>https://zelara.com.mx/productos</t>
        </is>
      </c>
    </row>
    <row r="21">
      <c r="A21" s="24" t="inlineStr">
        <is>
          <t>México</t>
        </is>
      </c>
      <c r="B21" s="24" t="inlineStr">
        <is>
          <t>ViuPeptides</t>
        </is>
      </c>
      <c r="C21" s="26" t="inlineStr">
        <is>
          <t>Catálogo MX con precios en pesos: tirzepatida, retatrutida, GHK-Cu, BPC-157, TB-500</t>
        </is>
      </c>
      <c r="D21" s="27" t="inlineStr">
        <is>
          <t>https://viupeptides.com.mx/comprar-peptidos-mexico/</t>
        </is>
      </c>
    </row>
    <row r="22">
      <c r="A22" s="24" t="inlineStr">
        <is>
          <t>México</t>
        </is>
      </c>
      <c r="B22" s="24" t="inlineStr">
        <is>
          <t>Singular Biotech</t>
        </is>
      </c>
      <c r="C22" s="26" t="inlineStr">
        <is>
          <t>Catálogo MX: BPC-157, TB-500, NAD+, GHK-Cu, MOTS-c</t>
        </is>
      </c>
      <c r="D22" s="27" t="inlineStr">
        <is>
          <t>https://singularbiotech.mx/</t>
        </is>
      </c>
    </row>
    <row r="23">
      <c r="A23" s="24" t="inlineStr">
        <is>
          <t>México</t>
        </is>
      </c>
      <c r="B23" s="24" t="inlineStr">
        <is>
          <t>NutricostMx</t>
        </is>
      </c>
      <c r="C23" s="26" t="inlineStr">
        <is>
          <t>Catálogo MX 99 % pureza, envío gratis desde $2,499 MXN</t>
        </is>
      </c>
      <c r="D23" s="27" t="inlineStr">
        <is>
          <t>https://nutricost.com.mx/</t>
        </is>
      </c>
    </row>
    <row r="24">
      <c r="A24" s="24" t="inlineStr">
        <is>
          <t>México</t>
        </is>
      </c>
      <c r="B24" s="24" t="inlineStr">
        <is>
          <t>peptido.info</t>
        </is>
      </c>
      <c r="C24" s="26" t="inlineStr">
        <is>
          <t>Referencia de mercado MX: USD 30–60 por vial de 5 mg importado, o MXN 500–1,000 por vial</t>
        </is>
      </c>
      <c r="D24" s="27" t="inlineStr">
        <is>
          <t>https://peptido.info/peptidos-en-mexico-donde-comprarlos-y-cuales-hay-disponibles/</t>
        </is>
      </c>
    </row>
    <row r="25">
      <c r="A25" s="24" t="inlineStr">
        <is>
          <t>México</t>
        </is>
      </c>
      <c r="B25" s="24" t="inlineStr">
        <is>
          <t>exomapeptides.mx — retatrutida</t>
        </is>
      </c>
      <c r="C25" s="26" t="inlineStr">
        <is>
          <t>Retatrutida $960 MXN; otra fuente MX la sitúa desde $1,700</t>
        </is>
      </c>
      <c r="D25" s="27" t="inlineStr">
        <is>
          <t>https://exomapeptides.mx/producto/retatrutida</t>
        </is>
      </c>
    </row>
    <row r="26">
      <c r="A26" s="24" t="inlineStr">
        <is>
          <t>Tipo de cambio</t>
        </is>
      </c>
      <c r="B26" s="24" t="inlineStr">
        <is>
          <t>Investing.com</t>
        </is>
      </c>
      <c r="C26" s="26" t="inlineStr">
        <is>
          <t>USD/MXN 17.35 al cierre consultado; media 2026 ≈ 17.47. En el libro se usa 17.50</t>
        </is>
      </c>
      <c r="D26" s="27" t="inlineStr">
        <is>
          <t>https://es.investing.com/currencies/usd-mxn-historical-data</t>
        </is>
      </c>
    </row>
    <row r="28">
      <c r="B28" s="17" t="inlineStr">
        <is>
          <t>NOTA SOBRE EL MÉTODO</t>
        </is>
      </c>
    </row>
    <row r="29" ht="30" customHeight="1">
      <c r="B29" s="4" t="inlineStr">
        <is>
          <t>·  El acceso directo a las tiendas está bloqueado desde este entorno, así que los precios se han triangulado con buscador sobre varios comparadores y fichas de producto en lugar de leerse de la tienda una por una.</t>
        </is>
      </c>
    </row>
    <row r="30" ht="30" customHeight="1">
      <c r="B30" s="4" t="inlineStr">
        <is>
          <t>·  Por eso el libro separa V de D en vez de dar todo por igual: donde hay una cifra publicada para ese compuesto se marca V; donde no la hay, se usa la banda de su clase y se marca D.</t>
        </is>
      </c>
    </row>
    <row r="31" ht="30" customHeight="1">
      <c r="B31" s="4" t="inlineStr">
        <is>
          <t>·  Antes de fijar precio en los diez compuestos que más vendas, conviene abrir esos enlaces y confirmar el número del día. Son diez comprobaciones, no ciento dieciocho.</t>
        </is>
      </c>
    </row>
  </sheetData>
  <mergeCells count="3">
    <mergeCell ref="B29:D29"/>
    <mergeCell ref="B30:D30"/>
    <mergeCell ref="B31:D31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  <hyperlink xmlns:r="http://schemas.openxmlformats.org/officeDocument/2006/relationships" ref="D19" r:id="rId14"/>
    <hyperlink xmlns:r="http://schemas.openxmlformats.org/officeDocument/2006/relationships" ref="D20" r:id="rId15"/>
    <hyperlink xmlns:r="http://schemas.openxmlformats.org/officeDocument/2006/relationships" ref="D21" r:id="rId16"/>
    <hyperlink xmlns:r="http://schemas.openxmlformats.org/officeDocument/2006/relationships" ref="D22" r:id="rId17"/>
    <hyperlink xmlns:r="http://schemas.openxmlformats.org/officeDocument/2006/relationships" ref="D23" r:id="rId18"/>
    <hyperlink xmlns:r="http://schemas.openxmlformats.org/officeDocument/2006/relationships" ref="D24" r:id="rId19"/>
    <hyperlink xmlns:r="http://schemas.openxmlformats.org/officeDocument/2006/relationships" ref="D25" r:id="rId20"/>
    <hyperlink xmlns:r="http://schemas.openxmlformats.org/officeDocument/2006/relationships" ref="D26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2026-08-02T21:32:20Z</dcterms:created>
  <dcterms:modified xmlns:dcterms="http://purl.org/dc/terms/" xmlns:xsi="http://www.w3.org/2001/XMLSchema-instance" xsi:type="dcterms:W3CDTF">2026-08-02T21:32:20Z</dcterms:modified>
</cp:coreProperties>
</file>